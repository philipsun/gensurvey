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ythonworknew\code\textsum\surveygen\experiment\surveygen\manualscorev2\"/>
    </mc:Choice>
  </mc:AlternateContent>
  <xr:revisionPtr revIDLastSave="0" documentId="13_ncr:1_{27DF028C-EACE-400D-9616-E2685DD7D8B1}" xr6:coauthVersionLast="45" xr6:coauthVersionMax="45" xr10:uidLastSave="{00000000-0000-0000-0000-000000000000}"/>
  <bookViews>
    <workbookView xWindow="19080" yWindow="-120" windowWidth="15600" windowHeight="11760" xr2:uid="{00000000-000D-0000-FFFF-FFFF00000000}"/>
  </bookViews>
  <sheets>
    <sheet name="allsectionratiorscore" sheetId="1" r:id="rId1"/>
    <sheet name="Sheet1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8" i="1" l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2" i="1"/>
  <c r="G39" i="1"/>
  <c r="F39" i="1"/>
  <c r="E39" i="1"/>
  <c r="D39" i="1"/>
  <c r="J39" i="1" s="1"/>
  <c r="C39" i="1"/>
  <c r="I39" i="1" s="1"/>
  <c r="B39" i="1"/>
  <c r="H39" i="1" s="1"/>
</calcChain>
</file>

<file path=xl/sharedStrings.xml><?xml version="1.0" encoding="utf-8"?>
<sst xmlns="http://schemas.openxmlformats.org/spreadsheetml/2006/main" count="10" uniqueCount="10">
  <si>
    <t>Rel_FECD:s/n=0.65</t>
    <phoneticPr fontId="18" type="noConversion"/>
  </si>
  <si>
    <t>Rel_BM25:s/n=0.35</t>
    <phoneticPr fontId="18" type="noConversion"/>
  </si>
  <si>
    <t>Rel_DTFIPF:s/n=0.40</t>
  </si>
  <si>
    <t>Coh_FECD:s/n=0.55</t>
    <phoneticPr fontId="18" type="noConversion"/>
  </si>
  <si>
    <t>Coh_BM25:s/n=0.29</t>
    <phoneticPr fontId="18" type="noConversion"/>
  </si>
  <si>
    <t>FECD:s/n=0.36</t>
    <phoneticPr fontId="18" type="noConversion"/>
  </si>
  <si>
    <t>BM25:s/n=0.06</t>
    <phoneticPr fontId="18" type="noConversion"/>
  </si>
  <si>
    <t>DTFIPF:s/n=0.09</t>
    <phoneticPr fontId="18" type="noConversion"/>
  </si>
  <si>
    <t>Coh_DTFIPF:s/n=0.34</t>
    <phoneticPr fontId="18" type="noConversion"/>
  </si>
  <si>
    <t>AVERAGE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</si>
</sst>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Manual</a:t>
            </a:r>
            <a:r>
              <a:rPr lang="en-US" altLang="zh-CN" baseline="0"/>
              <a:t> Average </a:t>
            </a:r>
            <a:r>
              <a:rPr lang="en-US" altLang="zh-CN" sz="1400" b="0" i="0" u="none" strike="noStrike" baseline="0">
                <a:effectLst/>
              </a:rPr>
              <a:t>Relevance </a:t>
            </a:r>
            <a:r>
              <a:rPr lang="en-US" altLang="zh-CN" baseline="0"/>
              <a:t>Scores of Sections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allsectionratiorscore!$B$1</c:f>
              <c:strCache>
                <c:ptCount val="1"/>
                <c:pt idx="0">
                  <c:v>Rel_FECD:s/n=0.65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allsectionratiorscore!$B$2:$B$38</c:f>
              <c:numCache>
                <c:formatCode>General</c:formatCode>
                <c:ptCount val="37"/>
                <c:pt idx="0">
                  <c:v>0.1</c:v>
                </c:pt>
                <c:pt idx="1">
                  <c:v>0.21698113207547101</c:v>
                </c:pt>
                <c:pt idx="2">
                  <c:v>0.875</c:v>
                </c:pt>
                <c:pt idx="3">
                  <c:v>0.25</c:v>
                </c:pt>
                <c:pt idx="4">
                  <c:v>0</c:v>
                </c:pt>
                <c:pt idx="5">
                  <c:v>0.7</c:v>
                </c:pt>
                <c:pt idx="6">
                  <c:v>1</c:v>
                </c:pt>
                <c:pt idx="7">
                  <c:v>1</c:v>
                </c:pt>
                <c:pt idx="8">
                  <c:v>0.94444444444444398</c:v>
                </c:pt>
                <c:pt idx="9">
                  <c:v>0.625</c:v>
                </c:pt>
                <c:pt idx="10">
                  <c:v>1</c:v>
                </c:pt>
                <c:pt idx="11">
                  <c:v>1</c:v>
                </c:pt>
                <c:pt idx="12">
                  <c:v>0.9375</c:v>
                </c:pt>
                <c:pt idx="13">
                  <c:v>0.9</c:v>
                </c:pt>
                <c:pt idx="14">
                  <c:v>0.42857142857142799</c:v>
                </c:pt>
                <c:pt idx="15">
                  <c:v>0.75</c:v>
                </c:pt>
                <c:pt idx="16">
                  <c:v>0.58163265306122403</c:v>
                </c:pt>
                <c:pt idx="17">
                  <c:v>0.90909090909090895</c:v>
                </c:pt>
                <c:pt idx="18">
                  <c:v>0.72222222222222199</c:v>
                </c:pt>
                <c:pt idx="19">
                  <c:v>0.69230769230769196</c:v>
                </c:pt>
                <c:pt idx="20">
                  <c:v>0.44444444444444398</c:v>
                </c:pt>
                <c:pt idx="21">
                  <c:v>0.58333333333333304</c:v>
                </c:pt>
                <c:pt idx="22">
                  <c:v>0.83333333333333304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0.6</c:v>
                </c:pt>
                <c:pt idx="29">
                  <c:v>1</c:v>
                </c:pt>
                <c:pt idx="30">
                  <c:v>0.16666666666666599</c:v>
                </c:pt>
                <c:pt idx="31">
                  <c:v>1</c:v>
                </c:pt>
                <c:pt idx="32">
                  <c:v>0.33673469387755101</c:v>
                </c:pt>
                <c:pt idx="33">
                  <c:v>4.7619047619047603E-2</c:v>
                </c:pt>
                <c:pt idx="34">
                  <c:v>0.18032786885245899</c:v>
                </c:pt>
                <c:pt idx="35">
                  <c:v>0.77777777777777701</c:v>
                </c:pt>
                <c:pt idx="36">
                  <c:v>0.54166666666666596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F-4AE0-A0E4-98F22504DC5B}"/>
            </c:ext>
          </c:extLst>
        </c:ser>
        <c:ser>
          <c:idx val="1"/>
          <c:order val="1"/>
          <c:tx>
            <c:strRef>
              <c:f>allsectionratiorscore!$C$1</c:f>
              <c:strCache>
                <c:ptCount val="1"/>
                <c:pt idx="0">
                  <c:v>Rel_BM25:s/n=0.35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allsectionratiorscore!$C$2:$C$38</c:f>
              <c:numCache>
                <c:formatCode>General</c:formatCode>
                <c:ptCount val="37"/>
                <c:pt idx="0">
                  <c:v>0</c:v>
                </c:pt>
                <c:pt idx="1">
                  <c:v>0.12</c:v>
                </c:pt>
                <c:pt idx="2">
                  <c:v>3.5714285714285698E-2</c:v>
                </c:pt>
                <c:pt idx="3">
                  <c:v>0</c:v>
                </c:pt>
                <c:pt idx="4">
                  <c:v>5.5555555555555497E-2</c:v>
                </c:pt>
                <c:pt idx="5">
                  <c:v>0.18181818181818099</c:v>
                </c:pt>
                <c:pt idx="6">
                  <c:v>0.86363636363636298</c:v>
                </c:pt>
                <c:pt idx="7">
                  <c:v>0.81818181818181801</c:v>
                </c:pt>
                <c:pt idx="8">
                  <c:v>0.7</c:v>
                </c:pt>
                <c:pt idx="9">
                  <c:v>0.33333333333333298</c:v>
                </c:pt>
                <c:pt idx="10">
                  <c:v>0.65</c:v>
                </c:pt>
                <c:pt idx="11">
                  <c:v>0</c:v>
                </c:pt>
                <c:pt idx="12">
                  <c:v>0</c:v>
                </c:pt>
                <c:pt idx="13">
                  <c:v>0.21052631578947301</c:v>
                </c:pt>
                <c:pt idx="14">
                  <c:v>0.25</c:v>
                </c:pt>
                <c:pt idx="15">
                  <c:v>0.52777777777777701</c:v>
                </c:pt>
                <c:pt idx="16">
                  <c:v>0.19318181818181801</c:v>
                </c:pt>
                <c:pt idx="17">
                  <c:v>0.73076923076922995</c:v>
                </c:pt>
                <c:pt idx="18">
                  <c:v>0.22727272727272699</c:v>
                </c:pt>
                <c:pt idx="19">
                  <c:v>1.6129032258064498E-2</c:v>
                </c:pt>
                <c:pt idx="20">
                  <c:v>0.38888888888888801</c:v>
                </c:pt>
                <c:pt idx="21">
                  <c:v>0.5</c:v>
                </c:pt>
                <c:pt idx="22">
                  <c:v>0.81818181818181801</c:v>
                </c:pt>
                <c:pt idx="23">
                  <c:v>0.5</c:v>
                </c:pt>
                <c:pt idx="24">
                  <c:v>1</c:v>
                </c:pt>
                <c:pt idx="25">
                  <c:v>0</c:v>
                </c:pt>
                <c:pt idx="26">
                  <c:v>0.92857142857142805</c:v>
                </c:pt>
                <c:pt idx="27">
                  <c:v>1</c:v>
                </c:pt>
                <c:pt idx="28">
                  <c:v>0.2</c:v>
                </c:pt>
                <c:pt idx="29">
                  <c:v>0.25</c:v>
                </c:pt>
                <c:pt idx="30">
                  <c:v>0</c:v>
                </c:pt>
                <c:pt idx="31">
                  <c:v>1</c:v>
                </c:pt>
                <c:pt idx="32">
                  <c:v>0.219696969696969</c:v>
                </c:pt>
                <c:pt idx="33">
                  <c:v>0.19047619047618999</c:v>
                </c:pt>
                <c:pt idx="34">
                  <c:v>7.5471698113207503E-2</c:v>
                </c:pt>
                <c:pt idx="35">
                  <c:v>0</c:v>
                </c:pt>
                <c:pt idx="36">
                  <c:v>0.27272727272727199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AF-4AE0-A0E4-98F22504DC5B}"/>
            </c:ext>
          </c:extLst>
        </c:ser>
        <c:ser>
          <c:idx val="2"/>
          <c:order val="2"/>
          <c:tx>
            <c:strRef>
              <c:f>allsectionratiorscore!$D$1</c:f>
              <c:strCache>
                <c:ptCount val="1"/>
                <c:pt idx="0">
                  <c:v>Rel_DTFIPF:s/n=0.40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allsectionratiorscore!$D$2:$D$38</c:f>
              <c:numCache>
                <c:formatCode>General</c:formatCode>
                <c:ptCount val="37"/>
                <c:pt idx="0">
                  <c:v>4.1666666666666602E-2</c:v>
                </c:pt>
                <c:pt idx="1">
                  <c:v>8.0188679245283001E-2</c:v>
                </c:pt>
                <c:pt idx="2">
                  <c:v>0</c:v>
                </c:pt>
                <c:pt idx="3">
                  <c:v>0.38461538461538403</c:v>
                </c:pt>
                <c:pt idx="4">
                  <c:v>0.85714285714285698</c:v>
                </c:pt>
                <c:pt idx="5">
                  <c:v>0.53846153846153799</c:v>
                </c:pt>
                <c:pt idx="6">
                  <c:v>0.47058823529411697</c:v>
                </c:pt>
                <c:pt idx="7">
                  <c:v>0.83333333333333304</c:v>
                </c:pt>
                <c:pt idx="8">
                  <c:v>0.58333333333333304</c:v>
                </c:pt>
                <c:pt idx="9">
                  <c:v>0</c:v>
                </c:pt>
                <c:pt idx="10">
                  <c:v>0.78571428571428503</c:v>
                </c:pt>
                <c:pt idx="11">
                  <c:v>0</c:v>
                </c:pt>
                <c:pt idx="12">
                  <c:v>0.5</c:v>
                </c:pt>
                <c:pt idx="13">
                  <c:v>0.33333333333333298</c:v>
                </c:pt>
                <c:pt idx="14">
                  <c:v>0.28571428571428498</c:v>
                </c:pt>
                <c:pt idx="15">
                  <c:v>0.71739130434782605</c:v>
                </c:pt>
                <c:pt idx="16">
                  <c:v>1.6949152542372801E-2</c:v>
                </c:pt>
                <c:pt idx="17">
                  <c:v>0.28947368421052599</c:v>
                </c:pt>
                <c:pt idx="18">
                  <c:v>0.67857142857142805</c:v>
                </c:pt>
                <c:pt idx="19">
                  <c:v>0.21153846153846101</c:v>
                </c:pt>
                <c:pt idx="20">
                  <c:v>6.6666666666666596E-2</c:v>
                </c:pt>
                <c:pt idx="21">
                  <c:v>0.157894736842105</c:v>
                </c:pt>
                <c:pt idx="22">
                  <c:v>0.88888888888888795</c:v>
                </c:pt>
                <c:pt idx="23">
                  <c:v>0.75</c:v>
                </c:pt>
                <c:pt idx="24">
                  <c:v>0.75</c:v>
                </c:pt>
                <c:pt idx="25">
                  <c:v>0</c:v>
                </c:pt>
                <c:pt idx="26">
                  <c:v>1</c:v>
                </c:pt>
                <c:pt idx="27">
                  <c:v>0.875</c:v>
                </c:pt>
                <c:pt idx="28">
                  <c:v>7.69230769230769E-2</c:v>
                </c:pt>
                <c:pt idx="29">
                  <c:v>0.71428571428571397</c:v>
                </c:pt>
                <c:pt idx="30">
                  <c:v>0</c:v>
                </c:pt>
                <c:pt idx="31">
                  <c:v>0.42857142857142799</c:v>
                </c:pt>
                <c:pt idx="32">
                  <c:v>5.4347826086956503E-3</c:v>
                </c:pt>
                <c:pt idx="33">
                  <c:v>0.26027397260273899</c:v>
                </c:pt>
                <c:pt idx="34">
                  <c:v>0.52631578947368396</c:v>
                </c:pt>
                <c:pt idx="35">
                  <c:v>0.77777777777777701</c:v>
                </c:pt>
                <c:pt idx="36">
                  <c:v>0.201492537313432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AF-4AE0-A0E4-98F22504D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86248"/>
        <c:axId val="407586576"/>
      </c:lineChart>
      <c:catAx>
        <c:axId val="40758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576"/>
        <c:crosses val="autoZero"/>
        <c:auto val="1"/>
        <c:lblAlgn val="ctr"/>
        <c:lblOffset val="100"/>
        <c:noMultiLvlLbl val="0"/>
      </c:catAx>
      <c:valAx>
        <c:axId val="407586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24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</a:t>
            </a:r>
            <a:r>
              <a:rPr lang="en-US" altLang="zh-CN" sz="1400" b="0" i="0" u="none" strike="noStrike" baseline="0">
                <a:effectLst/>
              </a:rPr>
              <a:t>Manual Average Coherence Scores of Sections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allsectionratiorscore!$E$1</c:f>
              <c:strCache>
                <c:ptCount val="1"/>
                <c:pt idx="0">
                  <c:v>Coh_FECD:s/n=0.55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allsectionratiorscore!$E$2:$E$38</c:f>
              <c:numCache>
                <c:formatCode>General</c:formatCode>
                <c:ptCount val="37"/>
                <c:pt idx="0">
                  <c:v>1</c:v>
                </c:pt>
                <c:pt idx="1">
                  <c:v>0.35849056603773499</c:v>
                </c:pt>
                <c:pt idx="2">
                  <c:v>0.5</c:v>
                </c:pt>
                <c:pt idx="3">
                  <c:v>0.58333333333333304</c:v>
                </c:pt>
                <c:pt idx="4">
                  <c:v>1</c:v>
                </c:pt>
                <c:pt idx="5">
                  <c:v>0.7</c:v>
                </c:pt>
                <c:pt idx="6">
                  <c:v>0</c:v>
                </c:pt>
                <c:pt idx="7">
                  <c:v>0.45</c:v>
                </c:pt>
                <c:pt idx="8">
                  <c:v>0.38888888888888801</c:v>
                </c:pt>
                <c:pt idx="9">
                  <c:v>0.3125</c:v>
                </c:pt>
                <c:pt idx="10">
                  <c:v>0.59375</c:v>
                </c:pt>
                <c:pt idx="11">
                  <c:v>0.5</c:v>
                </c:pt>
                <c:pt idx="12">
                  <c:v>0.375</c:v>
                </c:pt>
                <c:pt idx="13">
                  <c:v>0.25</c:v>
                </c:pt>
                <c:pt idx="14">
                  <c:v>0.35714285714285698</c:v>
                </c:pt>
                <c:pt idx="15">
                  <c:v>0.60714285714285698</c:v>
                </c:pt>
                <c:pt idx="16">
                  <c:v>0.64285714285714202</c:v>
                </c:pt>
                <c:pt idx="17">
                  <c:v>0.31818181818181801</c:v>
                </c:pt>
                <c:pt idx="18">
                  <c:v>0.27777777777777701</c:v>
                </c:pt>
                <c:pt idx="19">
                  <c:v>0.53846153846153799</c:v>
                </c:pt>
                <c:pt idx="20">
                  <c:v>0.194444444444444</c:v>
                </c:pt>
                <c:pt idx="21">
                  <c:v>0.16666666666666599</c:v>
                </c:pt>
                <c:pt idx="22">
                  <c:v>0.72222222222222199</c:v>
                </c:pt>
                <c:pt idx="23">
                  <c:v>0.83333333333333304</c:v>
                </c:pt>
                <c:pt idx="24">
                  <c:v>0.5</c:v>
                </c:pt>
                <c:pt idx="25">
                  <c:v>0.66666666666666596</c:v>
                </c:pt>
                <c:pt idx="26">
                  <c:v>0.91666666666666596</c:v>
                </c:pt>
                <c:pt idx="27">
                  <c:v>1</c:v>
                </c:pt>
                <c:pt idx="28">
                  <c:v>0.6</c:v>
                </c:pt>
                <c:pt idx="29">
                  <c:v>1</c:v>
                </c:pt>
                <c:pt idx="30">
                  <c:v>0.5</c:v>
                </c:pt>
                <c:pt idx="31">
                  <c:v>1</c:v>
                </c:pt>
                <c:pt idx="32">
                  <c:v>0.71428571428571397</c:v>
                </c:pt>
                <c:pt idx="33">
                  <c:v>0.65476190476190399</c:v>
                </c:pt>
                <c:pt idx="34">
                  <c:v>0.21311475409836</c:v>
                </c:pt>
                <c:pt idx="35">
                  <c:v>0.72222222222222199</c:v>
                </c:pt>
                <c:pt idx="36">
                  <c:v>0.33333333333333298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AD-4906-9B90-8E58780CB2FD}"/>
            </c:ext>
          </c:extLst>
        </c:ser>
        <c:ser>
          <c:idx val="1"/>
          <c:order val="1"/>
          <c:tx>
            <c:strRef>
              <c:f>allsectionratiorscore!$F$1</c:f>
              <c:strCache>
                <c:ptCount val="1"/>
                <c:pt idx="0">
                  <c:v>Coh_BM25:s/n=0.29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allsectionratiorscore!$F$2:$F$38</c:f>
              <c:numCache>
                <c:formatCode>General</c:formatCode>
                <c:ptCount val="37"/>
                <c:pt idx="0">
                  <c:v>0</c:v>
                </c:pt>
                <c:pt idx="1">
                  <c:v>3.3333333333333298E-2</c:v>
                </c:pt>
                <c:pt idx="2">
                  <c:v>0.107142857142857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4.54545454545454E-2</c:v>
                </c:pt>
                <c:pt idx="7">
                  <c:v>0.36363636363636298</c:v>
                </c:pt>
                <c:pt idx="8">
                  <c:v>0.2</c:v>
                </c:pt>
                <c:pt idx="9">
                  <c:v>0.27777777777777701</c:v>
                </c:pt>
                <c:pt idx="10">
                  <c:v>0.375</c:v>
                </c:pt>
                <c:pt idx="11">
                  <c:v>3.125E-2</c:v>
                </c:pt>
                <c:pt idx="12">
                  <c:v>0.269230769230769</c:v>
                </c:pt>
                <c:pt idx="13">
                  <c:v>0.13157894736842099</c:v>
                </c:pt>
                <c:pt idx="14">
                  <c:v>0.107142857142857</c:v>
                </c:pt>
                <c:pt idx="15">
                  <c:v>0.13888888888888801</c:v>
                </c:pt>
                <c:pt idx="16">
                  <c:v>0.28409090909090901</c:v>
                </c:pt>
                <c:pt idx="17">
                  <c:v>0.46153846153846101</c:v>
                </c:pt>
                <c:pt idx="18">
                  <c:v>0</c:v>
                </c:pt>
                <c:pt idx="19">
                  <c:v>1.6129032258064498E-2</c:v>
                </c:pt>
                <c:pt idx="20">
                  <c:v>0.22222222222222199</c:v>
                </c:pt>
                <c:pt idx="21">
                  <c:v>0.133333333333333</c:v>
                </c:pt>
                <c:pt idx="22">
                  <c:v>0.31818181818181801</c:v>
                </c:pt>
                <c:pt idx="23">
                  <c:v>0.16666666666666599</c:v>
                </c:pt>
                <c:pt idx="24">
                  <c:v>0.58333333333333304</c:v>
                </c:pt>
                <c:pt idx="25">
                  <c:v>0.625</c:v>
                </c:pt>
                <c:pt idx="26">
                  <c:v>0.14285714285714199</c:v>
                </c:pt>
                <c:pt idx="27">
                  <c:v>0.4</c:v>
                </c:pt>
                <c:pt idx="28">
                  <c:v>0.3</c:v>
                </c:pt>
                <c:pt idx="29">
                  <c:v>0.125</c:v>
                </c:pt>
                <c:pt idx="30">
                  <c:v>0.6</c:v>
                </c:pt>
                <c:pt idx="31">
                  <c:v>1</c:v>
                </c:pt>
                <c:pt idx="32">
                  <c:v>0.33333333333333298</c:v>
                </c:pt>
                <c:pt idx="33">
                  <c:v>0.293650793650793</c:v>
                </c:pt>
                <c:pt idx="34">
                  <c:v>7.5471698113207503E-2</c:v>
                </c:pt>
                <c:pt idx="35">
                  <c:v>0.2</c:v>
                </c:pt>
                <c:pt idx="36">
                  <c:v>0.11363636363636299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AD-4906-9B90-8E58780CB2FD}"/>
            </c:ext>
          </c:extLst>
        </c:ser>
        <c:ser>
          <c:idx val="2"/>
          <c:order val="2"/>
          <c:tx>
            <c:strRef>
              <c:f>allsectionratiorscore!$G$1</c:f>
              <c:strCache>
                <c:ptCount val="1"/>
                <c:pt idx="0">
                  <c:v>Coh_DTFIPF:s/n=0.34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allsectionratiorscore!$G$2:$G$38</c:f>
              <c:numCache>
                <c:formatCode>General</c:formatCode>
                <c:ptCount val="37"/>
                <c:pt idx="0">
                  <c:v>0.33333333333333298</c:v>
                </c:pt>
                <c:pt idx="1">
                  <c:v>0.122641509433962</c:v>
                </c:pt>
                <c:pt idx="2">
                  <c:v>4.1666666666666602E-2</c:v>
                </c:pt>
                <c:pt idx="3">
                  <c:v>0.23076923076923</c:v>
                </c:pt>
                <c:pt idx="4">
                  <c:v>0.57142857142857095</c:v>
                </c:pt>
                <c:pt idx="5">
                  <c:v>0.15384615384615299</c:v>
                </c:pt>
                <c:pt idx="6">
                  <c:v>8.8235294117646995E-2</c:v>
                </c:pt>
                <c:pt idx="7">
                  <c:v>0.77777777777777701</c:v>
                </c:pt>
                <c:pt idx="8">
                  <c:v>0.33333333333333298</c:v>
                </c:pt>
                <c:pt idx="9">
                  <c:v>0</c:v>
                </c:pt>
                <c:pt idx="10">
                  <c:v>0.42857142857142799</c:v>
                </c:pt>
                <c:pt idx="11">
                  <c:v>0</c:v>
                </c:pt>
                <c:pt idx="12">
                  <c:v>0.27500000000000002</c:v>
                </c:pt>
                <c:pt idx="13">
                  <c:v>4.1666666666666602E-2</c:v>
                </c:pt>
                <c:pt idx="14">
                  <c:v>0.19047619047618999</c:v>
                </c:pt>
                <c:pt idx="15">
                  <c:v>0.34782608695652101</c:v>
                </c:pt>
                <c:pt idx="16">
                  <c:v>3.38983050847457E-2</c:v>
                </c:pt>
                <c:pt idx="17">
                  <c:v>0.28947368421052599</c:v>
                </c:pt>
                <c:pt idx="18">
                  <c:v>0.214285714285714</c:v>
                </c:pt>
                <c:pt idx="19">
                  <c:v>0.134615384615384</c:v>
                </c:pt>
                <c:pt idx="20">
                  <c:v>3.3333333333333298E-2</c:v>
                </c:pt>
                <c:pt idx="21">
                  <c:v>0.34210526315789402</c:v>
                </c:pt>
                <c:pt idx="22">
                  <c:v>0.44444444444444398</c:v>
                </c:pt>
                <c:pt idx="23">
                  <c:v>0.4375</c:v>
                </c:pt>
                <c:pt idx="24">
                  <c:v>0.625</c:v>
                </c:pt>
                <c:pt idx="25">
                  <c:v>0</c:v>
                </c:pt>
                <c:pt idx="26">
                  <c:v>0.42857142857142799</c:v>
                </c:pt>
                <c:pt idx="27">
                  <c:v>0.4375</c:v>
                </c:pt>
                <c:pt idx="28">
                  <c:v>0</c:v>
                </c:pt>
                <c:pt idx="29">
                  <c:v>0.35714285714285698</c:v>
                </c:pt>
                <c:pt idx="30">
                  <c:v>0</c:v>
                </c:pt>
                <c:pt idx="31">
                  <c:v>0.214285714285714</c:v>
                </c:pt>
                <c:pt idx="32">
                  <c:v>0.26086956521739102</c:v>
                </c:pt>
                <c:pt idx="33">
                  <c:v>0.34931506849315003</c:v>
                </c:pt>
                <c:pt idx="34">
                  <c:v>0.44736842105263103</c:v>
                </c:pt>
                <c:pt idx="35">
                  <c:v>0.77777777777777701</c:v>
                </c:pt>
                <c:pt idx="36">
                  <c:v>0.12686567164179099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AD-4906-9B90-8E58780CB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86248"/>
        <c:axId val="407586576"/>
      </c:lineChart>
      <c:catAx>
        <c:axId val="40758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576"/>
        <c:crosses val="autoZero"/>
        <c:auto val="1"/>
        <c:lblAlgn val="ctr"/>
        <c:lblOffset val="100"/>
        <c:noMultiLvlLbl val="0"/>
      </c:catAx>
      <c:valAx>
        <c:axId val="407586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24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</a:t>
            </a:r>
            <a:r>
              <a:rPr lang="en-US" altLang="zh-CN" sz="1400" b="0" i="0" u="none" strike="noStrike" baseline="0">
                <a:effectLst/>
              </a:rPr>
              <a:t>Manual Average Sythetic Scores of Sections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allsectionratiorscore!$H$1</c:f>
              <c:strCache>
                <c:ptCount val="1"/>
                <c:pt idx="0">
                  <c:v>FECD:s/n=0.36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allsectionratiorscore!$H$2:$H$38</c:f>
              <c:numCache>
                <c:formatCode>General</c:formatCode>
                <c:ptCount val="37"/>
                <c:pt idx="0">
                  <c:v>0.1</c:v>
                </c:pt>
                <c:pt idx="1">
                  <c:v>7.7785688857244142E-2</c:v>
                </c:pt>
                <c:pt idx="2">
                  <c:v>0.4375</c:v>
                </c:pt>
                <c:pt idx="3">
                  <c:v>0.14583333333333326</c:v>
                </c:pt>
                <c:pt idx="4">
                  <c:v>0</c:v>
                </c:pt>
                <c:pt idx="5">
                  <c:v>0.48999999999999994</c:v>
                </c:pt>
                <c:pt idx="6">
                  <c:v>0</c:v>
                </c:pt>
                <c:pt idx="7">
                  <c:v>0.45</c:v>
                </c:pt>
                <c:pt idx="8">
                  <c:v>0.36728395061728292</c:v>
                </c:pt>
                <c:pt idx="9">
                  <c:v>0.1953125</c:v>
                </c:pt>
                <c:pt idx="10">
                  <c:v>0.59375</c:v>
                </c:pt>
                <c:pt idx="11">
                  <c:v>0.5</c:v>
                </c:pt>
                <c:pt idx="12">
                  <c:v>0.3515625</c:v>
                </c:pt>
                <c:pt idx="13">
                  <c:v>0.22500000000000001</c:v>
                </c:pt>
                <c:pt idx="14">
                  <c:v>0.15306122448979564</c:v>
                </c:pt>
                <c:pt idx="15">
                  <c:v>0.45535714285714274</c:v>
                </c:pt>
                <c:pt idx="16">
                  <c:v>0.37390670553935779</c:v>
                </c:pt>
                <c:pt idx="17">
                  <c:v>0.28925619834710725</c:v>
                </c:pt>
                <c:pt idx="18">
                  <c:v>0.20061728395061668</c:v>
                </c:pt>
                <c:pt idx="19">
                  <c:v>0.37278106508875686</c:v>
                </c:pt>
                <c:pt idx="20">
                  <c:v>8.6419753086419471E-2</c:v>
                </c:pt>
                <c:pt idx="21">
                  <c:v>9.722222222222178E-2</c:v>
                </c:pt>
                <c:pt idx="22">
                  <c:v>0.60185185185185142</c:v>
                </c:pt>
                <c:pt idx="23">
                  <c:v>0.83333333333333304</c:v>
                </c:pt>
                <c:pt idx="24">
                  <c:v>0.5</c:v>
                </c:pt>
                <c:pt idx="25">
                  <c:v>0</c:v>
                </c:pt>
                <c:pt idx="26">
                  <c:v>0.91666666666666596</c:v>
                </c:pt>
                <c:pt idx="27">
                  <c:v>1</c:v>
                </c:pt>
                <c:pt idx="28">
                  <c:v>0.36</c:v>
                </c:pt>
                <c:pt idx="29">
                  <c:v>1</c:v>
                </c:pt>
                <c:pt idx="30">
                  <c:v>8.3333333333332996E-2</c:v>
                </c:pt>
                <c:pt idx="31">
                  <c:v>1</c:v>
                </c:pt>
                <c:pt idx="32">
                  <c:v>0.24052478134110775</c:v>
                </c:pt>
                <c:pt idx="33">
                  <c:v>3.1179138321995419E-2</c:v>
                </c:pt>
                <c:pt idx="34">
                  <c:v>3.8430529427573114E-2</c:v>
                </c:pt>
                <c:pt idx="35">
                  <c:v>0.56172839506172767</c:v>
                </c:pt>
                <c:pt idx="36">
                  <c:v>0.18055555555555514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8-4802-ACE2-FBF55EF020A6}"/>
            </c:ext>
          </c:extLst>
        </c:ser>
        <c:ser>
          <c:idx val="1"/>
          <c:order val="1"/>
          <c:tx>
            <c:strRef>
              <c:f>allsectionratiorscore!$I$1</c:f>
              <c:strCache>
                <c:ptCount val="1"/>
                <c:pt idx="0">
                  <c:v>BM25:s/n=0.06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allsectionratiorscore!$I$2:$I$38</c:f>
              <c:numCache>
                <c:formatCode>General</c:formatCode>
                <c:ptCount val="37"/>
                <c:pt idx="0">
                  <c:v>0</c:v>
                </c:pt>
                <c:pt idx="1">
                  <c:v>3.9999999999999957E-3</c:v>
                </c:pt>
                <c:pt idx="2">
                  <c:v>3.8265306122448909E-3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3.9256198347107363E-2</c:v>
                </c:pt>
                <c:pt idx="7">
                  <c:v>0.29752066115702419</c:v>
                </c:pt>
                <c:pt idx="8">
                  <c:v>0.13999999999999999</c:v>
                </c:pt>
                <c:pt idx="9">
                  <c:v>9.2592592592592241E-2</c:v>
                </c:pt>
                <c:pt idx="10">
                  <c:v>0.24375000000000002</c:v>
                </c:pt>
                <c:pt idx="11">
                  <c:v>0</c:v>
                </c:pt>
                <c:pt idx="12">
                  <c:v>0</c:v>
                </c:pt>
                <c:pt idx="13">
                  <c:v>2.7700831024930647E-2</c:v>
                </c:pt>
                <c:pt idx="14">
                  <c:v>2.678571428571425E-2</c:v>
                </c:pt>
                <c:pt idx="15">
                  <c:v>7.3302469135801893E-2</c:v>
                </c:pt>
                <c:pt idx="16">
                  <c:v>5.488119834710737E-2</c:v>
                </c:pt>
                <c:pt idx="17">
                  <c:v>0.33727810650887496</c:v>
                </c:pt>
                <c:pt idx="18">
                  <c:v>0</c:v>
                </c:pt>
                <c:pt idx="19">
                  <c:v>2.6014568158168517E-4</c:v>
                </c:pt>
                <c:pt idx="20">
                  <c:v>8.6419753086419471E-2</c:v>
                </c:pt>
                <c:pt idx="21">
                  <c:v>6.6666666666666499E-2</c:v>
                </c:pt>
                <c:pt idx="22">
                  <c:v>0.26033057851239649</c:v>
                </c:pt>
                <c:pt idx="23">
                  <c:v>8.3333333333332996E-2</c:v>
                </c:pt>
                <c:pt idx="24">
                  <c:v>0.58333333333333304</c:v>
                </c:pt>
                <c:pt idx="25">
                  <c:v>0</c:v>
                </c:pt>
                <c:pt idx="26">
                  <c:v>0.13265306122448892</c:v>
                </c:pt>
                <c:pt idx="27">
                  <c:v>0.4</c:v>
                </c:pt>
                <c:pt idx="28">
                  <c:v>0.06</c:v>
                </c:pt>
                <c:pt idx="29">
                  <c:v>3.125E-2</c:v>
                </c:pt>
                <c:pt idx="30">
                  <c:v>0</c:v>
                </c:pt>
                <c:pt idx="31">
                  <c:v>1</c:v>
                </c:pt>
                <c:pt idx="32">
                  <c:v>7.3232323232322927E-2</c:v>
                </c:pt>
                <c:pt idx="33">
                  <c:v>5.5933484504912812E-2</c:v>
                </c:pt>
                <c:pt idx="34">
                  <c:v>5.695977216091129E-3</c:v>
                </c:pt>
                <c:pt idx="35">
                  <c:v>0</c:v>
                </c:pt>
                <c:pt idx="36">
                  <c:v>3.0991735537189823E-2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48-4802-ACE2-FBF55EF020A6}"/>
            </c:ext>
          </c:extLst>
        </c:ser>
        <c:ser>
          <c:idx val="2"/>
          <c:order val="2"/>
          <c:tx>
            <c:strRef>
              <c:f>allsectionratiorscore!$J$1</c:f>
              <c:strCache>
                <c:ptCount val="1"/>
                <c:pt idx="0">
                  <c:v>DTFIPF:s/n=0.09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allsectionratiorscore!$J$2:$J$38</c:f>
              <c:numCache>
                <c:formatCode>General</c:formatCode>
                <c:ptCount val="37"/>
                <c:pt idx="0">
                  <c:v>1.3888888888888853E-2</c:v>
                </c:pt>
                <c:pt idx="1">
                  <c:v>9.8344606621573287E-3</c:v>
                </c:pt>
                <c:pt idx="2">
                  <c:v>0</c:v>
                </c:pt>
                <c:pt idx="3">
                  <c:v>8.8757396449703707E-2</c:v>
                </c:pt>
                <c:pt idx="4">
                  <c:v>0.48979591836734643</c:v>
                </c:pt>
                <c:pt idx="5">
                  <c:v>8.2840236686389998E-2</c:v>
                </c:pt>
                <c:pt idx="6">
                  <c:v>4.1522491349480876E-2</c:v>
                </c:pt>
                <c:pt idx="7">
                  <c:v>0.64814814814814725</c:v>
                </c:pt>
                <c:pt idx="8">
                  <c:v>0.19444444444444414</c:v>
                </c:pt>
                <c:pt idx="9">
                  <c:v>0</c:v>
                </c:pt>
                <c:pt idx="10">
                  <c:v>0.33673469387755028</c:v>
                </c:pt>
                <c:pt idx="11">
                  <c:v>0</c:v>
                </c:pt>
                <c:pt idx="12">
                  <c:v>0.13750000000000001</c:v>
                </c:pt>
                <c:pt idx="13">
                  <c:v>1.3888888888888853E-2</c:v>
                </c:pt>
                <c:pt idx="14">
                  <c:v>5.4421768707482714E-2</c:v>
                </c:pt>
                <c:pt idx="15">
                  <c:v>0.24952741020793898</c:v>
                </c:pt>
                <c:pt idx="16">
                  <c:v>5.7454754380924645E-4</c:v>
                </c:pt>
                <c:pt idx="17">
                  <c:v>8.3795013850415323E-2</c:v>
                </c:pt>
                <c:pt idx="18">
                  <c:v>0.14540816326530581</c:v>
                </c:pt>
                <c:pt idx="19">
                  <c:v>2.8476331360946544E-2</c:v>
                </c:pt>
                <c:pt idx="20">
                  <c:v>2.2222222222222174E-3</c:v>
                </c:pt>
                <c:pt idx="21">
                  <c:v>5.4016620498614755E-2</c:v>
                </c:pt>
                <c:pt idx="22">
                  <c:v>0.39506172839506087</c:v>
                </c:pt>
                <c:pt idx="23">
                  <c:v>0.328125</c:v>
                </c:pt>
                <c:pt idx="24">
                  <c:v>0.46875</c:v>
                </c:pt>
                <c:pt idx="25">
                  <c:v>0</c:v>
                </c:pt>
                <c:pt idx="26">
                  <c:v>0.42857142857142799</c:v>
                </c:pt>
                <c:pt idx="27">
                  <c:v>0.3828125</c:v>
                </c:pt>
                <c:pt idx="28">
                  <c:v>0</c:v>
                </c:pt>
                <c:pt idx="29">
                  <c:v>0.25510204081632631</c:v>
                </c:pt>
                <c:pt idx="30">
                  <c:v>0</c:v>
                </c:pt>
                <c:pt idx="31">
                  <c:v>9.1836734693877306E-2</c:v>
                </c:pt>
                <c:pt idx="32">
                  <c:v>1.4177693761814724E-3</c:v>
                </c:pt>
                <c:pt idx="33">
                  <c:v>9.0917620566710031E-2</c:v>
                </c:pt>
                <c:pt idx="34">
                  <c:v>0.23545706371191094</c:v>
                </c:pt>
                <c:pt idx="35">
                  <c:v>0.60493827160493707</c:v>
                </c:pt>
                <c:pt idx="36">
                  <c:v>2.5562486077077184E-2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48-4802-ACE2-FBF55EF02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86248"/>
        <c:axId val="407586576"/>
      </c:lineChart>
      <c:catAx>
        <c:axId val="40758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576"/>
        <c:crosses val="autoZero"/>
        <c:auto val="1"/>
        <c:lblAlgn val="ctr"/>
        <c:lblOffset val="100"/>
        <c:noMultiLvlLbl val="0"/>
      </c:catAx>
      <c:valAx>
        <c:axId val="407586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24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Manual</a:t>
            </a:r>
            <a:r>
              <a:rPr lang="en-US" altLang="zh-CN" baseline="0"/>
              <a:t> Average </a:t>
            </a:r>
            <a:r>
              <a:rPr lang="en-US" altLang="zh-CN" sz="1400" b="0" i="0" u="none" strike="noStrike" baseline="0">
                <a:effectLst/>
              </a:rPr>
              <a:t>Relevance </a:t>
            </a:r>
            <a:r>
              <a:rPr lang="en-US" altLang="zh-CN" baseline="0"/>
              <a:t>Scores of Sections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allsectionratiorscore!$B$1</c:f>
              <c:strCache>
                <c:ptCount val="1"/>
                <c:pt idx="0">
                  <c:v>Rel_FECD:s/n=0.65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allsectionratiorscore!$B$2:$B$38</c:f>
              <c:numCache>
                <c:formatCode>General</c:formatCode>
                <c:ptCount val="37"/>
                <c:pt idx="0">
                  <c:v>0.1</c:v>
                </c:pt>
                <c:pt idx="1">
                  <c:v>0.21698113207547101</c:v>
                </c:pt>
                <c:pt idx="2">
                  <c:v>0.875</c:v>
                </c:pt>
                <c:pt idx="3">
                  <c:v>0.25</c:v>
                </c:pt>
                <c:pt idx="4">
                  <c:v>0</c:v>
                </c:pt>
                <c:pt idx="5">
                  <c:v>0.7</c:v>
                </c:pt>
                <c:pt idx="6">
                  <c:v>1</c:v>
                </c:pt>
                <c:pt idx="7">
                  <c:v>1</c:v>
                </c:pt>
                <c:pt idx="8">
                  <c:v>0.94444444444444398</c:v>
                </c:pt>
                <c:pt idx="9">
                  <c:v>0.625</c:v>
                </c:pt>
                <c:pt idx="10">
                  <c:v>1</c:v>
                </c:pt>
                <c:pt idx="11">
                  <c:v>1</c:v>
                </c:pt>
                <c:pt idx="12">
                  <c:v>0.9375</c:v>
                </c:pt>
                <c:pt idx="13">
                  <c:v>0.9</c:v>
                </c:pt>
                <c:pt idx="14">
                  <c:v>0.42857142857142799</c:v>
                </c:pt>
                <c:pt idx="15">
                  <c:v>0.75</c:v>
                </c:pt>
                <c:pt idx="16">
                  <c:v>0.58163265306122403</c:v>
                </c:pt>
                <c:pt idx="17">
                  <c:v>0.90909090909090895</c:v>
                </c:pt>
                <c:pt idx="18">
                  <c:v>0.72222222222222199</c:v>
                </c:pt>
                <c:pt idx="19">
                  <c:v>0.69230769230769196</c:v>
                </c:pt>
                <c:pt idx="20">
                  <c:v>0.44444444444444398</c:v>
                </c:pt>
                <c:pt idx="21">
                  <c:v>0.58333333333333304</c:v>
                </c:pt>
                <c:pt idx="22">
                  <c:v>0.83333333333333304</c:v>
                </c:pt>
                <c:pt idx="23">
                  <c:v>1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0.6</c:v>
                </c:pt>
                <c:pt idx="29">
                  <c:v>1</c:v>
                </c:pt>
                <c:pt idx="30">
                  <c:v>0.16666666666666599</c:v>
                </c:pt>
                <c:pt idx="31">
                  <c:v>1</c:v>
                </c:pt>
                <c:pt idx="32">
                  <c:v>0.33673469387755101</c:v>
                </c:pt>
                <c:pt idx="33">
                  <c:v>4.7619047619047603E-2</c:v>
                </c:pt>
                <c:pt idx="34">
                  <c:v>0.18032786885245899</c:v>
                </c:pt>
                <c:pt idx="35">
                  <c:v>0.77777777777777701</c:v>
                </c:pt>
                <c:pt idx="36">
                  <c:v>0.54166666666666596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F-4D7B-BED1-DD5A7C4E0084}"/>
            </c:ext>
          </c:extLst>
        </c:ser>
        <c:ser>
          <c:idx val="1"/>
          <c:order val="1"/>
          <c:tx>
            <c:strRef>
              <c:f>allsectionratiorscore!$C$1</c:f>
              <c:strCache>
                <c:ptCount val="1"/>
                <c:pt idx="0">
                  <c:v>Rel_BM25:s/n=0.35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allsectionratiorscore!$C$2:$C$38</c:f>
              <c:numCache>
                <c:formatCode>General</c:formatCode>
                <c:ptCount val="37"/>
                <c:pt idx="0">
                  <c:v>0</c:v>
                </c:pt>
                <c:pt idx="1">
                  <c:v>0.12</c:v>
                </c:pt>
                <c:pt idx="2">
                  <c:v>3.5714285714285698E-2</c:v>
                </c:pt>
                <c:pt idx="3">
                  <c:v>0</c:v>
                </c:pt>
                <c:pt idx="4">
                  <c:v>5.5555555555555497E-2</c:v>
                </c:pt>
                <c:pt idx="5">
                  <c:v>0.18181818181818099</c:v>
                </c:pt>
                <c:pt idx="6">
                  <c:v>0.86363636363636298</c:v>
                </c:pt>
                <c:pt idx="7">
                  <c:v>0.81818181818181801</c:v>
                </c:pt>
                <c:pt idx="8">
                  <c:v>0.7</c:v>
                </c:pt>
                <c:pt idx="9">
                  <c:v>0.33333333333333298</c:v>
                </c:pt>
                <c:pt idx="10">
                  <c:v>0.65</c:v>
                </c:pt>
                <c:pt idx="11">
                  <c:v>0</c:v>
                </c:pt>
                <c:pt idx="12">
                  <c:v>0</c:v>
                </c:pt>
                <c:pt idx="13">
                  <c:v>0.21052631578947301</c:v>
                </c:pt>
                <c:pt idx="14">
                  <c:v>0.25</c:v>
                </c:pt>
                <c:pt idx="15">
                  <c:v>0.52777777777777701</c:v>
                </c:pt>
                <c:pt idx="16">
                  <c:v>0.19318181818181801</c:v>
                </c:pt>
                <c:pt idx="17">
                  <c:v>0.73076923076922995</c:v>
                </c:pt>
                <c:pt idx="18">
                  <c:v>0.22727272727272699</c:v>
                </c:pt>
                <c:pt idx="19">
                  <c:v>1.6129032258064498E-2</c:v>
                </c:pt>
                <c:pt idx="20">
                  <c:v>0.38888888888888801</c:v>
                </c:pt>
                <c:pt idx="21">
                  <c:v>0.5</c:v>
                </c:pt>
                <c:pt idx="22">
                  <c:v>0.81818181818181801</c:v>
                </c:pt>
                <c:pt idx="23">
                  <c:v>0.5</c:v>
                </c:pt>
                <c:pt idx="24">
                  <c:v>1</c:v>
                </c:pt>
                <c:pt idx="25">
                  <c:v>0</c:v>
                </c:pt>
                <c:pt idx="26">
                  <c:v>0.92857142857142805</c:v>
                </c:pt>
                <c:pt idx="27">
                  <c:v>1</c:v>
                </c:pt>
                <c:pt idx="28">
                  <c:v>0.2</c:v>
                </c:pt>
                <c:pt idx="29">
                  <c:v>0.25</c:v>
                </c:pt>
                <c:pt idx="30">
                  <c:v>0</c:v>
                </c:pt>
                <c:pt idx="31">
                  <c:v>1</c:v>
                </c:pt>
                <c:pt idx="32">
                  <c:v>0.219696969696969</c:v>
                </c:pt>
                <c:pt idx="33">
                  <c:v>0.19047619047618999</c:v>
                </c:pt>
                <c:pt idx="34">
                  <c:v>7.5471698113207503E-2</c:v>
                </c:pt>
                <c:pt idx="35">
                  <c:v>0</c:v>
                </c:pt>
                <c:pt idx="36">
                  <c:v>0.27272727272727199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DF-4D7B-BED1-DD5A7C4E0084}"/>
            </c:ext>
          </c:extLst>
        </c:ser>
        <c:ser>
          <c:idx val="2"/>
          <c:order val="2"/>
          <c:tx>
            <c:strRef>
              <c:f>allsectionratiorscore!$D$1</c:f>
              <c:strCache>
                <c:ptCount val="1"/>
                <c:pt idx="0">
                  <c:v>Rel_DTFIPF:s/n=0.40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allsectionratiorscore!$D$2:$D$38</c:f>
              <c:numCache>
                <c:formatCode>General</c:formatCode>
                <c:ptCount val="37"/>
                <c:pt idx="0">
                  <c:v>4.1666666666666602E-2</c:v>
                </c:pt>
                <c:pt idx="1">
                  <c:v>8.0188679245283001E-2</c:v>
                </c:pt>
                <c:pt idx="2">
                  <c:v>0</c:v>
                </c:pt>
                <c:pt idx="3">
                  <c:v>0.38461538461538403</c:v>
                </c:pt>
                <c:pt idx="4">
                  <c:v>0.85714285714285698</c:v>
                </c:pt>
                <c:pt idx="5">
                  <c:v>0.53846153846153799</c:v>
                </c:pt>
                <c:pt idx="6">
                  <c:v>0.47058823529411697</c:v>
                </c:pt>
                <c:pt idx="7">
                  <c:v>0.83333333333333304</c:v>
                </c:pt>
                <c:pt idx="8">
                  <c:v>0.58333333333333304</c:v>
                </c:pt>
                <c:pt idx="9">
                  <c:v>0</c:v>
                </c:pt>
                <c:pt idx="10">
                  <c:v>0.78571428571428503</c:v>
                </c:pt>
                <c:pt idx="11">
                  <c:v>0</c:v>
                </c:pt>
                <c:pt idx="12">
                  <c:v>0.5</c:v>
                </c:pt>
                <c:pt idx="13">
                  <c:v>0.33333333333333298</c:v>
                </c:pt>
                <c:pt idx="14">
                  <c:v>0.28571428571428498</c:v>
                </c:pt>
                <c:pt idx="15">
                  <c:v>0.71739130434782605</c:v>
                </c:pt>
                <c:pt idx="16">
                  <c:v>1.6949152542372801E-2</c:v>
                </c:pt>
                <c:pt idx="17">
                  <c:v>0.28947368421052599</c:v>
                </c:pt>
                <c:pt idx="18">
                  <c:v>0.67857142857142805</c:v>
                </c:pt>
                <c:pt idx="19">
                  <c:v>0.21153846153846101</c:v>
                </c:pt>
                <c:pt idx="20">
                  <c:v>6.6666666666666596E-2</c:v>
                </c:pt>
                <c:pt idx="21">
                  <c:v>0.157894736842105</c:v>
                </c:pt>
                <c:pt idx="22">
                  <c:v>0.88888888888888795</c:v>
                </c:pt>
                <c:pt idx="23">
                  <c:v>0.75</c:v>
                </c:pt>
                <c:pt idx="24">
                  <c:v>0.75</c:v>
                </c:pt>
                <c:pt idx="25">
                  <c:v>0</c:v>
                </c:pt>
                <c:pt idx="26">
                  <c:v>1</c:v>
                </c:pt>
                <c:pt idx="27">
                  <c:v>0.875</c:v>
                </c:pt>
                <c:pt idx="28">
                  <c:v>7.69230769230769E-2</c:v>
                </c:pt>
                <c:pt idx="29">
                  <c:v>0.71428571428571397</c:v>
                </c:pt>
                <c:pt idx="30">
                  <c:v>0</c:v>
                </c:pt>
                <c:pt idx="31">
                  <c:v>0.42857142857142799</c:v>
                </c:pt>
                <c:pt idx="32">
                  <c:v>5.4347826086956503E-3</c:v>
                </c:pt>
                <c:pt idx="33">
                  <c:v>0.26027397260273899</c:v>
                </c:pt>
                <c:pt idx="34">
                  <c:v>0.52631578947368396</c:v>
                </c:pt>
                <c:pt idx="35">
                  <c:v>0.77777777777777701</c:v>
                </c:pt>
                <c:pt idx="36">
                  <c:v>0.201492537313432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DF-4D7B-BED1-DD5A7C4E0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86248"/>
        <c:axId val="407586576"/>
      </c:lineChart>
      <c:catAx>
        <c:axId val="40758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576"/>
        <c:crosses val="autoZero"/>
        <c:auto val="1"/>
        <c:lblAlgn val="ctr"/>
        <c:lblOffset val="100"/>
        <c:noMultiLvlLbl val="0"/>
      </c:catAx>
      <c:valAx>
        <c:axId val="407586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24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</a:t>
            </a:r>
            <a:r>
              <a:rPr lang="en-US" altLang="zh-CN" sz="1400" b="0" i="0" u="none" strike="noStrike" baseline="0">
                <a:effectLst/>
              </a:rPr>
              <a:t>Manual Average Coherence Scores of Sections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allsectionratiorscore!$E$1</c:f>
              <c:strCache>
                <c:ptCount val="1"/>
                <c:pt idx="0">
                  <c:v>Coh_FECD:s/n=0.55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allsectionratiorscore!$E$2:$E$38</c:f>
              <c:numCache>
                <c:formatCode>General</c:formatCode>
                <c:ptCount val="37"/>
                <c:pt idx="0">
                  <c:v>1</c:v>
                </c:pt>
                <c:pt idx="1">
                  <c:v>0.35849056603773499</c:v>
                </c:pt>
                <c:pt idx="2">
                  <c:v>0.5</c:v>
                </c:pt>
                <c:pt idx="3">
                  <c:v>0.58333333333333304</c:v>
                </c:pt>
                <c:pt idx="4">
                  <c:v>1</c:v>
                </c:pt>
                <c:pt idx="5">
                  <c:v>0.7</c:v>
                </c:pt>
                <c:pt idx="6">
                  <c:v>0</c:v>
                </c:pt>
                <c:pt idx="7">
                  <c:v>0.45</c:v>
                </c:pt>
                <c:pt idx="8">
                  <c:v>0.38888888888888801</c:v>
                </c:pt>
                <c:pt idx="9">
                  <c:v>0.3125</c:v>
                </c:pt>
                <c:pt idx="10">
                  <c:v>0.59375</c:v>
                </c:pt>
                <c:pt idx="11">
                  <c:v>0.5</c:v>
                </c:pt>
                <c:pt idx="12">
                  <c:v>0.375</c:v>
                </c:pt>
                <c:pt idx="13">
                  <c:v>0.25</c:v>
                </c:pt>
                <c:pt idx="14">
                  <c:v>0.35714285714285698</c:v>
                </c:pt>
                <c:pt idx="15">
                  <c:v>0.60714285714285698</c:v>
                </c:pt>
                <c:pt idx="16">
                  <c:v>0.64285714285714202</c:v>
                </c:pt>
                <c:pt idx="17">
                  <c:v>0.31818181818181801</c:v>
                </c:pt>
                <c:pt idx="18">
                  <c:v>0.27777777777777701</c:v>
                </c:pt>
                <c:pt idx="19">
                  <c:v>0.53846153846153799</c:v>
                </c:pt>
                <c:pt idx="20">
                  <c:v>0.194444444444444</c:v>
                </c:pt>
                <c:pt idx="21">
                  <c:v>0.16666666666666599</c:v>
                </c:pt>
                <c:pt idx="22">
                  <c:v>0.72222222222222199</c:v>
                </c:pt>
                <c:pt idx="23">
                  <c:v>0.83333333333333304</c:v>
                </c:pt>
                <c:pt idx="24">
                  <c:v>0.5</c:v>
                </c:pt>
                <c:pt idx="25">
                  <c:v>0.66666666666666596</c:v>
                </c:pt>
                <c:pt idx="26">
                  <c:v>0.91666666666666596</c:v>
                </c:pt>
                <c:pt idx="27">
                  <c:v>1</c:v>
                </c:pt>
                <c:pt idx="28">
                  <c:v>0.6</c:v>
                </c:pt>
                <c:pt idx="29">
                  <c:v>1</c:v>
                </c:pt>
                <c:pt idx="30">
                  <c:v>0.5</c:v>
                </c:pt>
                <c:pt idx="31">
                  <c:v>1</c:v>
                </c:pt>
                <c:pt idx="32">
                  <c:v>0.71428571428571397</c:v>
                </c:pt>
                <c:pt idx="33">
                  <c:v>0.65476190476190399</c:v>
                </c:pt>
                <c:pt idx="34">
                  <c:v>0.21311475409836</c:v>
                </c:pt>
                <c:pt idx="35">
                  <c:v>0.72222222222222199</c:v>
                </c:pt>
                <c:pt idx="36">
                  <c:v>0.33333333333333298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8F-482F-AE92-4200959E2216}"/>
            </c:ext>
          </c:extLst>
        </c:ser>
        <c:ser>
          <c:idx val="1"/>
          <c:order val="1"/>
          <c:tx>
            <c:strRef>
              <c:f>allsectionratiorscore!$F$1</c:f>
              <c:strCache>
                <c:ptCount val="1"/>
                <c:pt idx="0">
                  <c:v>Coh_BM25:s/n=0.29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allsectionratiorscore!$F$2:$F$38</c:f>
              <c:numCache>
                <c:formatCode>General</c:formatCode>
                <c:ptCount val="37"/>
                <c:pt idx="0">
                  <c:v>0</c:v>
                </c:pt>
                <c:pt idx="1">
                  <c:v>3.3333333333333298E-2</c:v>
                </c:pt>
                <c:pt idx="2">
                  <c:v>0.107142857142857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4.54545454545454E-2</c:v>
                </c:pt>
                <c:pt idx="7">
                  <c:v>0.36363636363636298</c:v>
                </c:pt>
                <c:pt idx="8">
                  <c:v>0.2</c:v>
                </c:pt>
                <c:pt idx="9">
                  <c:v>0.27777777777777701</c:v>
                </c:pt>
                <c:pt idx="10">
                  <c:v>0.375</c:v>
                </c:pt>
                <c:pt idx="11">
                  <c:v>3.125E-2</c:v>
                </c:pt>
                <c:pt idx="12">
                  <c:v>0.269230769230769</c:v>
                </c:pt>
                <c:pt idx="13">
                  <c:v>0.13157894736842099</c:v>
                </c:pt>
                <c:pt idx="14">
                  <c:v>0.107142857142857</c:v>
                </c:pt>
                <c:pt idx="15">
                  <c:v>0.13888888888888801</c:v>
                </c:pt>
                <c:pt idx="16">
                  <c:v>0.28409090909090901</c:v>
                </c:pt>
                <c:pt idx="17">
                  <c:v>0.46153846153846101</c:v>
                </c:pt>
                <c:pt idx="18">
                  <c:v>0</c:v>
                </c:pt>
                <c:pt idx="19">
                  <c:v>1.6129032258064498E-2</c:v>
                </c:pt>
                <c:pt idx="20">
                  <c:v>0.22222222222222199</c:v>
                </c:pt>
                <c:pt idx="21">
                  <c:v>0.133333333333333</c:v>
                </c:pt>
                <c:pt idx="22">
                  <c:v>0.31818181818181801</c:v>
                </c:pt>
                <c:pt idx="23">
                  <c:v>0.16666666666666599</c:v>
                </c:pt>
                <c:pt idx="24">
                  <c:v>0.58333333333333304</c:v>
                </c:pt>
                <c:pt idx="25">
                  <c:v>0.625</c:v>
                </c:pt>
                <c:pt idx="26">
                  <c:v>0.14285714285714199</c:v>
                </c:pt>
                <c:pt idx="27">
                  <c:v>0.4</c:v>
                </c:pt>
                <c:pt idx="28">
                  <c:v>0.3</c:v>
                </c:pt>
                <c:pt idx="29">
                  <c:v>0.125</c:v>
                </c:pt>
                <c:pt idx="30">
                  <c:v>0.6</c:v>
                </c:pt>
                <c:pt idx="31">
                  <c:v>1</c:v>
                </c:pt>
                <c:pt idx="32">
                  <c:v>0.33333333333333298</c:v>
                </c:pt>
                <c:pt idx="33">
                  <c:v>0.293650793650793</c:v>
                </c:pt>
                <c:pt idx="34">
                  <c:v>7.5471698113207503E-2</c:v>
                </c:pt>
                <c:pt idx="35">
                  <c:v>0.2</c:v>
                </c:pt>
                <c:pt idx="36">
                  <c:v>0.11363636363636299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8F-482F-AE92-4200959E2216}"/>
            </c:ext>
          </c:extLst>
        </c:ser>
        <c:ser>
          <c:idx val="2"/>
          <c:order val="2"/>
          <c:tx>
            <c:strRef>
              <c:f>allsectionratiorscore!$G$1</c:f>
              <c:strCache>
                <c:ptCount val="1"/>
                <c:pt idx="0">
                  <c:v>Coh_DTFIPF:s/n=0.34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allsectionratiorscore!$G$2:$G$38</c:f>
              <c:numCache>
                <c:formatCode>General</c:formatCode>
                <c:ptCount val="37"/>
                <c:pt idx="0">
                  <c:v>0.33333333333333298</c:v>
                </c:pt>
                <c:pt idx="1">
                  <c:v>0.122641509433962</c:v>
                </c:pt>
                <c:pt idx="2">
                  <c:v>4.1666666666666602E-2</c:v>
                </c:pt>
                <c:pt idx="3">
                  <c:v>0.23076923076923</c:v>
                </c:pt>
                <c:pt idx="4">
                  <c:v>0.57142857142857095</c:v>
                </c:pt>
                <c:pt idx="5">
                  <c:v>0.15384615384615299</c:v>
                </c:pt>
                <c:pt idx="6">
                  <c:v>8.8235294117646995E-2</c:v>
                </c:pt>
                <c:pt idx="7">
                  <c:v>0.77777777777777701</c:v>
                </c:pt>
                <c:pt idx="8">
                  <c:v>0.33333333333333298</c:v>
                </c:pt>
                <c:pt idx="9">
                  <c:v>0</c:v>
                </c:pt>
                <c:pt idx="10">
                  <c:v>0.42857142857142799</c:v>
                </c:pt>
                <c:pt idx="11">
                  <c:v>0</c:v>
                </c:pt>
                <c:pt idx="12">
                  <c:v>0.27500000000000002</c:v>
                </c:pt>
                <c:pt idx="13">
                  <c:v>4.1666666666666602E-2</c:v>
                </c:pt>
                <c:pt idx="14">
                  <c:v>0.19047619047618999</c:v>
                </c:pt>
                <c:pt idx="15">
                  <c:v>0.34782608695652101</c:v>
                </c:pt>
                <c:pt idx="16">
                  <c:v>3.38983050847457E-2</c:v>
                </c:pt>
                <c:pt idx="17">
                  <c:v>0.28947368421052599</c:v>
                </c:pt>
                <c:pt idx="18">
                  <c:v>0.214285714285714</c:v>
                </c:pt>
                <c:pt idx="19">
                  <c:v>0.134615384615384</c:v>
                </c:pt>
                <c:pt idx="20">
                  <c:v>3.3333333333333298E-2</c:v>
                </c:pt>
                <c:pt idx="21">
                  <c:v>0.34210526315789402</c:v>
                </c:pt>
                <c:pt idx="22">
                  <c:v>0.44444444444444398</c:v>
                </c:pt>
                <c:pt idx="23">
                  <c:v>0.4375</c:v>
                </c:pt>
                <c:pt idx="24">
                  <c:v>0.625</c:v>
                </c:pt>
                <c:pt idx="25">
                  <c:v>0</c:v>
                </c:pt>
                <c:pt idx="26">
                  <c:v>0.42857142857142799</c:v>
                </c:pt>
                <c:pt idx="27">
                  <c:v>0.4375</c:v>
                </c:pt>
                <c:pt idx="28">
                  <c:v>0</c:v>
                </c:pt>
                <c:pt idx="29">
                  <c:v>0.35714285714285698</c:v>
                </c:pt>
                <c:pt idx="30">
                  <c:v>0</c:v>
                </c:pt>
                <c:pt idx="31">
                  <c:v>0.214285714285714</c:v>
                </c:pt>
                <c:pt idx="32">
                  <c:v>0.26086956521739102</c:v>
                </c:pt>
                <c:pt idx="33">
                  <c:v>0.34931506849315003</c:v>
                </c:pt>
                <c:pt idx="34">
                  <c:v>0.44736842105263103</c:v>
                </c:pt>
                <c:pt idx="35">
                  <c:v>0.77777777777777701</c:v>
                </c:pt>
                <c:pt idx="36">
                  <c:v>0.12686567164179099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8F-482F-AE92-4200959E2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86248"/>
        <c:axId val="407586576"/>
      </c:lineChart>
      <c:catAx>
        <c:axId val="40758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576"/>
        <c:crosses val="autoZero"/>
        <c:auto val="1"/>
        <c:lblAlgn val="ctr"/>
        <c:lblOffset val="100"/>
        <c:noMultiLvlLbl val="0"/>
      </c:catAx>
      <c:valAx>
        <c:axId val="407586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24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 </a:t>
            </a:r>
            <a:r>
              <a:rPr lang="en-US" altLang="zh-CN" sz="1400" b="0" i="0" u="none" strike="noStrike" baseline="0">
                <a:effectLst/>
              </a:rPr>
              <a:t>Manual Average Sythetic Scores of Sections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allsectionratiorscore!$H$1</c:f>
              <c:strCache>
                <c:ptCount val="1"/>
                <c:pt idx="0">
                  <c:v>FECD:s/n=0.36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allsectionratiorscore!$H$2:$H$38</c:f>
              <c:numCache>
                <c:formatCode>General</c:formatCode>
                <c:ptCount val="37"/>
                <c:pt idx="0">
                  <c:v>0.1</c:v>
                </c:pt>
                <c:pt idx="1">
                  <c:v>7.7785688857244142E-2</c:v>
                </c:pt>
                <c:pt idx="2">
                  <c:v>0.4375</c:v>
                </c:pt>
                <c:pt idx="3">
                  <c:v>0.14583333333333326</c:v>
                </c:pt>
                <c:pt idx="4">
                  <c:v>0</c:v>
                </c:pt>
                <c:pt idx="5">
                  <c:v>0.48999999999999994</c:v>
                </c:pt>
                <c:pt idx="6">
                  <c:v>0</c:v>
                </c:pt>
                <c:pt idx="7">
                  <c:v>0.45</c:v>
                </c:pt>
                <c:pt idx="8">
                  <c:v>0.36728395061728292</c:v>
                </c:pt>
                <c:pt idx="9">
                  <c:v>0.1953125</c:v>
                </c:pt>
                <c:pt idx="10">
                  <c:v>0.59375</c:v>
                </c:pt>
                <c:pt idx="11">
                  <c:v>0.5</c:v>
                </c:pt>
                <c:pt idx="12">
                  <c:v>0.3515625</c:v>
                </c:pt>
                <c:pt idx="13">
                  <c:v>0.22500000000000001</c:v>
                </c:pt>
                <c:pt idx="14">
                  <c:v>0.15306122448979564</c:v>
                </c:pt>
                <c:pt idx="15">
                  <c:v>0.45535714285714274</c:v>
                </c:pt>
                <c:pt idx="16">
                  <c:v>0.37390670553935779</c:v>
                </c:pt>
                <c:pt idx="17">
                  <c:v>0.28925619834710725</c:v>
                </c:pt>
                <c:pt idx="18">
                  <c:v>0.20061728395061668</c:v>
                </c:pt>
                <c:pt idx="19">
                  <c:v>0.37278106508875686</c:v>
                </c:pt>
                <c:pt idx="20">
                  <c:v>8.6419753086419471E-2</c:v>
                </c:pt>
                <c:pt idx="21">
                  <c:v>9.722222222222178E-2</c:v>
                </c:pt>
                <c:pt idx="22">
                  <c:v>0.60185185185185142</c:v>
                </c:pt>
                <c:pt idx="23">
                  <c:v>0.83333333333333304</c:v>
                </c:pt>
                <c:pt idx="24">
                  <c:v>0.5</c:v>
                </c:pt>
                <c:pt idx="25">
                  <c:v>0</c:v>
                </c:pt>
                <c:pt idx="26">
                  <c:v>0.91666666666666596</c:v>
                </c:pt>
                <c:pt idx="27">
                  <c:v>1</c:v>
                </c:pt>
                <c:pt idx="28">
                  <c:v>0.36</c:v>
                </c:pt>
                <c:pt idx="29">
                  <c:v>1</c:v>
                </c:pt>
                <c:pt idx="30">
                  <c:v>8.3333333333332996E-2</c:v>
                </c:pt>
                <c:pt idx="31">
                  <c:v>1</c:v>
                </c:pt>
                <c:pt idx="32">
                  <c:v>0.24052478134110775</c:v>
                </c:pt>
                <c:pt idx="33">
                  <c:v>3.1179138321995419E-2</c:v>
                </c:pt>
                <c:pt idx="34">
                  <c:v>3.8430529427573114E-2</c:v>
                </c:pt>
                <c:pt idx="35">
                  <c:v>0.56172839506172767</c:v>
                </c:pt>
                <c:pt idx="36">
                  <c:v>0.18055555555555514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04-4278-9FD8-2EF2415DFDB1}"/>
            </c:ext>
          </c:extLst>
        </c:ser>
        <c:ser>
          <c:idx val="1"/>
          <c:order val="1"/>
          <c:tx>
            <c:strRef>
              <c:f>allsectionratiorscore!$I$1</c:f>
              <c:strCache>
                <c:ptCount val="1"/>
                <c:pt idx="0">
                  <c:v>BM25:s/n=0.06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allsectionratiorscore!$I$2:$I$38</c:f>
              <c:numCache>
                <c:formatCode>General</c:formatCode>
                <c:ptCount val="37"/>
                <c:pt idx="0">
                  <c:v>0</c:v>
                </c:pt>
                <c:pt idx="1">
                  <c:v>3.9999999999999957E-3</c:v>
                </c:pt>
                <c:pt idx="2">
                  <c:v>3.8265306122448909E-3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3.9256198347107363E-2</c:v>
                </c:pt>
                <c:pt idx="7">
                  <c:v>0.29752066115702419</c:v>
                </c:pt>
                <c:pt idx="8">
                  <c:v>0.13999999999999999</c:v>
                </c:pt>
                <c:pt idx="9">
                  <c:v>9.2592592592592241E-2</c:v>
                </c:pt>
                <c:pt idx="10">
                  <c:v>0.24375000000000002</c:v>
                </c:pt>
                <c:pt idx="11">
                  <c:v>0</c:v>
                </c:pt>
                <c:pt idx="12">
                  <c:v>0</c:v>
                </c:pt>
                <c:pt idx="13">
                  <c:v>2.7700831024930647E-2</c:v>
                </c:pt>
                <c:pt idx="14">
                  <c:v>2.678571428571425E-2</c:v>
                </c:pt>
                <c:pt idx="15">
                  <c:v>7.3302469135801893E-2</c:v>
                </c:pt>
                <c:pt idx="16">
                  <c:v>5.488119834710737E-2</c:v>
                </c:pt>
                <c:pt idx="17">
                  <c:v>0.33727810650887496</c:v>
                </c:pt>
                <c:pt idx="18">
                  <c:v>0</c:v>
                </c:pt>
                <c:pt idx="19">
                  <c:v>2.6014568158168517E-4</c:v>
                </c:pt>
                <c:pt idx="20">
                  <c:v>8.6419753086419471E-2</c:v>
                </c:pt>
                <c:pt idx="21">
                  <c:v>6.6666666666666499E-2</c:v>
                </c:pt>
                <c:pt idx="22">
                  <c:v>0.26033057851239649</c:v>
                </c:pt>
                <c:pt idx="23">
                  <c:v>8.3333333333332996E-2</c:v>
                </c:pt>
                <c:pt idx="24">
                  <c:v>0.58333333333333304</c:v>
                </c:pt>
                <c:pt idx="25">
                  <c:v>0</c:v>
                </c:pt>
                <c:pt idx="26">
                  <c:v>0.13265306122448892</c:v>
                </c:pt>
                <c:pt idx="27">
                  <c:v>0.4</c:v>
                </c:pt>
                <c:pt idx="28">
                  <c:v>0.06</c:v>
                </c:pt>
                <c:pt idx="29">
                  <c:v>3.125E-2</c:v>
                </c:pt>
                <c:pt idx="30">
                  <c:v>0</c:v>
                </c:pt>
                <c:pt idx="31">
                  <c:v>1</c:v>
                </c:pt>
                <c:pt idx="32">
                  <c:v>7.3232323232322927E-2</c:v>
                </c:pt>
                <c:pt idx="33">
                  <c:v>5.5933484504912812E-2</c:v>
                </c:pt>
                <c:pt idx="34">
                  <c:v>5.695977216091129E-3</c:v>
                </c:pt>
                <c:pt idx="35">
                  <c:v>0</c:v>
                </c:pt>
                <c:pt idx="36">
                  <c:v>3.0991735537189823E-2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04-4278-9FD8-2EF2415DFDB1}"/>
            </c:ext>
          </c:extLst>
        </c:ser>
        <c:ser>
          <c:idx val="2"/>
          <c:order val="2"/>
          <c:tx>
            <c:strRef>
              <c:f>allsectionratiorscore!$J$1</c:f>
              <c:strCache>
                <c:ptCount val="1"/>
                <c:pt idx="0">
                  <c:v>DTFIPF:s/n=0.09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chemeClr val="accent3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allsectionratiorscore!$A$2:$A$38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cat>
          <c:val>
            <c:numRef>
              <c:f>allsectionratiorscore!$J$2:$J$38</c:f>
              <c:numCache>
                <c:formatCode>General</c:formatCode>
                <c:ptCount val="37"/>
                <c:pt idx="0">
                  <c:v>1.3888888888888853E-2</c:v>
                </c:pt>
                <c:pt idx="1">
                  <c:v>9.8344606621573287E-3</c:v>
                </c:pt>
                <c:pt idx="2">
                  <c:v>0</c:v>
                </c:pt>
                <c:pt idx="3">
                  <c:v>8.8757396449703707E-2</c:v>
                </c:pt>
                <c:pt idx="4">
                  <c:v>0.48979591836734643</c:v>
                </c:pt>
                <c:pt idx="5">
                  <c:v>8.2840236686389998E-2</c:v>
                </c:pt>
                <c:pt idx="6">
                  <c:v>4.1522491349480876E-2</c:v>
                </c:pt>
                <c:pt idx="7">
                  <c:v>0.64814814814814725</c:v>
                </c:pt>
                <c:pt idx="8">
                  <c:v>0.19444444444444414</c:v>
                </c:pt>
                <c:pt idx="9">
                  <c:v>0</c:v>
                </c:pt>
                <c:pt idx="10">
                  <c:v>0.33673469387755028</c:v>
                </c:pt>
                <c:pt idx="11">
                  <c:v>0</c:v>
                </c:pt>
                <c:pt idx="12">
                  <c:v>0.13750000000000001</c:v>
                </c:pt>
                <c:pt idx="13">
                  <c:v>1.3888888888888853E-2</c:v>
                </c:pt>
                <c:pt idx="14">
                  <c:v>5.4421768707482714E-2</c:v>
                </c:pt>
                <c:pt idx="15">
                  <c:v>0.24952741020793898</c:v>
                </c:pt>
                <c:pt idx="16">
                  <c:v>5.7454754380924645E-4</c:v>
                </c:pt>
                <c:pt idx="17">
                  <c:v>8.3795013850415323E-2</c:v>
                </c:pt>
                <c:pt idx="18">
                  <c:v>0.14540816326530581</c:v>
                </c:pt>
                <c:pt idx="19">
                  <c:v>2.8476331360946544E-2</c:v>
                </c:pt>
                <c:pt idx="20">
                  <c:v>2.2222222222222174E-3</c:v>
                </c:pt>
                <c:pt idx="21">
                  <c:v>5.4016620498614755E-2</c:v>
                </c:pt>
                <c:pt idx="22">
                  <c:v>0.39506172839506087</c:v>
                </c:pt>
                <c:pt idx="23">
                  <c:v>0.328125</c:v>
                </c:pt>
                <c:pt idx="24">
                  <c:v>0.46875</c:v>
                </c:pt>
                <c:pt idx="25">
                  <c:v>0</c:v>
                </c:pt>
                <c:pt idx="26">
                  <c:v>0.42857142857142799</c:v>
                </c:pt>
                <c:pt idx="27">
                  <c:v>0.3828125</c:v>
                </c:pt>
                <c:pt idx="28">
                  <c:v>0</c:v>
                </c:pt>
                <c:pt idx="29">
                  <c:v>0.25510204081632631</c:v>
                </c:pt>
                <c:pt idx="30">
                  <c:v>0</c:v>
                </c:pt>
                <c:pt idx="31">
                  <c:v>9.1836734693877306E-2</c:v>
                </c:pt>
                <c:pt idx="32">
                  <c:v>1.4177693761814724E-3</c:v>
                </c:pt>
                <c:pt idx="33">
                  <c:v>9.0917620566710031E-2</c:v>
                </c:pt>
                <c:pt idx="34">
                  <c:v>0.23545706371191094</c:v>
                </c:pt>
                <c:pt idx="35">
                  <c:v>0.60493827160493707</c:v>
                </c:pt>
                <c:pt idx="36">
                  <c:v>2.5562486077077184E-2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04-4278-9FD8-2EF2415DF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586248"/>
        <c:axId val="407586576"/>
      </c:lineChart>
      <c:catAx>
        <c:axId val="40758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576"/>
        <c:crosses val="autoZero"/>
        <c:auto val="1"/>
        <c:lblAlgn val="ctr"/>
        <c:lblOffset val="100"/>
        <c:noMultiLvlLbl val="0"/>
      </c:catAx>
      <c:valAx>
        <c:axId val="4075865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07586248"/>
        <c:crosses val="autoZero"/>
        <c:crossBetween val="between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ysDot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624753</xdr:colOff>
      <xdr:row>2</xdr:row>
      <xdr:rowOff>34636</xdr:rowOff>
    </xdr:from>
    <xdr:to>
      <xdr:col>17</xdr:col>
      <xdr:colOff>389225</xdr:colOff>
      <xdr:row>17</xdr:row>
      <xdr:rowOff>63211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9CE9409-113D-41E7-B0B2-275149AED3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571500</xdr:colOff>
      <xdr:row>35</xdr:row>
      <xdr:rowOff>69273</xdr:rowOff>
    </xdr:from>
    <xdr:to>
      <xdr:col>17</xdr:col>
      <xdr:colOff>335972</xdr:colOff>
      <xdr:row>50</xdr:row>
      <xdr:rowOff>97848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957A01A-4CFD-4162-8D25-AAD1F97BE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599642</xdr:colOff>
      <xdr:row>18</xdr:row>
      <xdr:rowOff>162357</xdr:rowOff>
    </xdr:from>
    <xdr:to>
      <xdr:col>17</xdr:col>
      <xdr:colOff>361949</xdr:colOff>
      <xdr:row>34</xdr:row>
      <xdr:rowOff>17750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80A8004-BC02-4147-900B-7C02D3604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53252</xdr:colOff>
      <xdr:row>0</xdr:row>
      <xdr:rowOff>0</xdr:rowOff>
    </xdr:from>
    <xdr:to>
      <xdr:col>6</xdr:col>
      <xdr:colOff>612320</xdr:colOff>
      <xdr:row>14</xdr:row>
      <xdr:rowOff>92652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3B72081-51CF-41F5-8084-ED4B918ED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139412</xdr:rowOff>
    </xdr:from>
    <xdr:to>
      <xdr:col>6</xdr:col>
      <xdr:colOff>621196</xdr:colOff>
      <xdr:row>46</xdr:row>
      <xdr:rowOff>51089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F78D1285-5AF5-4DC6-87A7-F8A7CA026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28142</xdr:colOff>
      <xdr:row>16</xdr:row>
      <xdr:rowOff>3030</xdr:rowOff>
    </xdr:from>
    <xdr:to>
      <xdr:col>6</xdr:col>
      <xdr:colOff>625928</xdr:colOff>
      <xdr:row>30</xdr:row>
      <xdr:rowOff>95682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88F194E-A740-4AE4-B168-717797F6A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9"/>
  <sheetViews>
    <sheetView tabSelected="1" topLeftCell="A13" zoomScaleNormal="100" workbookViewId="0">
      <selection activeCell="C41" sqref="C41"/>
    </sheetView>
  </sheetViews>
  <sheetFormatPr defaultRowHeight="14.25" x14ac:dyDescent="0.2"/>
  <sheetData>
    <row r="1" spans="1:1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8</v>
      </c>
      <c r="H1" t="s">
        <v>5</v>
      </c>
      <c r="I1" t="s">
        <v>6</v>
      </c>
      <c r="J1" t="s">
        <v>7</v>
      </c>
    </row>
    <row r="2" spans="1:10" x14ac:dyDescent="0.2">
      <c r="A2">
        <v>0</v>
      </c>
      <c r="B2">
        <v>0.1</v>
      </c>
      <c r="C2">
        <v>0</v>
      </c>
      <c r="D2">
        <v>4.1666666666666602E-2</v>
      </c>
      <c r="E2">
        <v>1</v>
      </c>
      <c r="F2">
        <v>0</v>
      </c>
      <c r="G2">
        <v>0.33333333333333298</v>
      </c>
      <c r="H2">
        <f>B2*E2</f>
        <v>0.1</v>
      </c>
      <c r="I2">
        <f>C2*F2</f>
        <v>0</v>
      </c>
      <c r="J2">
        <f>D2*G2</f>
        <v>1.3888888888888853E-2</v>
      </c>
    </row>
    <row r="3" spans="1:10" x14ac:dyDescent="0.2">
      <c r="A3">
        <v>1</v>
      </c>
      <c r="B3">
        <v>0.21698113207547101</v>
      </c>
      <c r="C3">
        <v>0.12</v>
      </c>
      <c r="D3">
        <v>8.0188679245283001E-2</v>
      </c>
      <c r="E3">
        <v>0.35849056603773499</v>
      </c>
      <c r="F3">
        <v>3.3333333333333298E-2</v>
      </c>
      <c r="G3">
        <v>0.122641509433962</v>
      </c>
      <c r="H3">
        <f t="shared" ref="H3:J39" si="0">B3*E3</f>
        <v>7.7785688857244142E-2</v>
      </c>
      <c r="I3">
        <f t="shared" si="0"/>
        <v>3.9999999999999957E-3</v>
      </c>
      <c r="J3">
        <f t="shared" si="0"/>
        <v>9.8344606621573287E-3</v>
      </c>
    </row>
    <row r="4" spans="1:10" x14ac:dyDescent="0.2">
      <c r="A4">
        <v>2</v>
      </c>
      <c r="B4">
        <v>0.875</v>
      </c>
      <c r="C4">
        <v>3.5714285714285698E-2</v>
      </c>
      <c r="D4">
        <v>0</v>
      </c>
      <c r="E4">
        <v>0.5</v>
      </c>
      <c r="F4">
        <v>0.107142857142857</v>
      </c>
      <c r="G4">
        <v>4.1666666666666602E-2</v>
      </c>
      <c r="H4">
        <f t="shared" si="0"/>
        <v>0.4375</v>
      </c>
      <c r="I4">
        <f t="shared" si="0"/>
        <v>3.8265306122448909E-3</v>
      </c>
      <c r="J4">
        <f t="shared" si="0"/>
        <v>0</v>
      </c>
    </row>
    <row r="5" spans="1:10" x14ac:dyDescent="0.2">
      <c r="A5">
        <v>3</v>
      </c>
      <c r="B5">
        <v>0.25</v>
      </c>
      <c r="C5">
        <v>0</v>
      </c>
      <c r="D5">
        <v>0.38461538461538403</v>
      </c>
      <c r="E5">
        <v>0.58333333333333304</v>
      </c>
      <c r="F5">
        <v>0</v>
      </c>
      <c r="G5">
        <v>0.23076923076923</v>
      </c>
      <c r="H5">
        <f t="shared" si="0"/>
        <v>0.14583333333333326</v>
      </c>
      <c r="I5">
        <f t="shared" si="0"/>
        <v>0</v>
      </c>
      <c r="J5">
        <f t="shared" si="0"/>
        <v>8.8757396449703707E-2</v>
      </c>
    </row>
    <row r="6" spans="1:10" x14ac:dyDescent="0.2">
      <c r="A6">
        <v>4</v>
      </c>
      <c r="B6">
        <v>0</v>
      </c>
      <c r="C6">
        <v>5.5555555555555497E-2</v>
      </c>
      <c r="D6">
        <v>0.85714285714285698</v>
      </c>
      <c r="E6">
        <v>1</v>
      </c>
      <c r="F6">
        <v>0</v>
      </c>
      <c r="G6">
        <v>0.57142857142857095</v>
      </c>
      <c r="H6">
        <f t="shared" si="0"/>
        <v>0</v>
      </c>
      <c r="I6">
        <f t="shared" si="0"/>
        <v>0</v>
      </c>
      <c r="J6">
        <f t="shared" si="0"/>
        <v>0.48979591836734643</v>
      </c>
    </row>
    <row r="7" spans="1:10" x14ac:dyDescent="0.2">
      <c r="A7">
        <v>5</v>
      </c>
      <c r="B7">
        <v>0.7</v>
      </c>
      <c r="C7">
        <v>0.18181818181818099</v>
      </c>
      <c r="D7">
        <v>0.53846153846153799</v>
      </c>
      <c r="E7">
        <v>0.7</v>
      </c>
      <c r="F7">
        <v>0</v>
      </c>
      <c r="G7">
        <v>0.15384615384615299</v>
      </c>
      <c r="H7">
        <f t="shared" si="0"/>
        <v>0.48999999999999994</v>
      </c>
      <c r="I7">
        <f t="shared" si="0"/>
        <v>0</v>
      </c>
      <c r="J7">
        <f t="shared" si="0"/>
        <v>8.2840236686389998E-2</v>
      </c>
    </row>
    <row r="8" spans="1:10" x14ac:dyDescent="0.2">
      <c r="A8">
        <v>6</v>
      </c>
      <c r="B8">
        <v>1</v>
      </c>
      <c r="C8">
        <v>0.86363636363636298</v>
      </c>
      <c r="D8">
        <v>0.47058823529411697</v>
      </c>
      <c r="E8">
        <v>0</v>
      </c>
      <c r="F8">
        <v>4.54545454545454E-2</v>
      </c>
      <c r="G8">
        <v>8.8235294117646995E-2</v>
      </c>
      <c r="H8">
        <f t="shared" si="0"/>
        <v>0</v>
      </c>
      <c r="I8">
        <f t="shared" si="0"/>
        <v>3.9256198347107363E-2</v>
      </c>
      <c r="J8">
        <f t="shared" si="0"/>
        <v>4.1522491349480876E-2</v>
      </c>
    </row>
    <row r="9" spans="1:10" x14ac:dyDescent="0.2">
      <c r="A9">
        <v>7</v>
      </c>
      <c r="B9">
        <v>1</v>
      </c>
      <c r="C9">
        <v>0.81818181818181801</v>
      </c>
      <c r="D9">
        <v>0.83333333333333304</v>
      </c>
      <c r="E9">
        <v>0.45</v>
      </c>
      <c r="F9">
        <v>0.36363636363636298</v>
      </c>
      <c r="G9">
        <v>0.77777777777777701</v>
      </c>
      <c r="H9">
        <f t="shared" si="0"/>
        <v>0.45</v>
      </c>
      <c r="I9">
        <f t="shared" si="0"/>
        <v>0.29752066115702419</v>
      </c>
      <c r="J9">
        <f t="shared" si="0"/>
        <v>0.64814814814814725</v>
      </c>
    </row>
    <row r="10" spans="1:10" x14ac:dyDescent="0.2">
      <c r="A10">
        <v>8</v>
      </c>
      <c r="B10">
        <v>0.94444444444444398</v>
      </c>
      <c r="C10">
        <v>0.7</v>
      </c>
      <c r="D10">
        <v>0.58333333333333304</v>
      </c>
      <c r="E10">
        <v>0.38888888888888801</v>
      </c>
      <c r="F10">
        <v>0.2</v>
      </c>
      <c r="G10">
        <v>0.33333333333333298</v>
      </c>
      <c r="H10">
        <f t="shared" si="0"/>
        <v>0.36728395061728292</v>
      </c>
      <c r="I10">
        <f t="shared" si="0"/>
        <v>0.13999999999999999</v>
      </c>
      <c r="J10">
        <f t="shared" si="0"/>
        <v>0.19444444444444414</v>
      </c>
    </row>
    <row r="11" spans="1:10" x14ac:dyDescent="0.2">
      <c r="A11">
        <v>9</v>
      </c>
      <c r="B11">
        <v>0.625</v>
      </c>
      <c r="C11">
        <v>0.33333333333333298</v>
      </c>
      <c r="D11">
        <v>0</v>
      </c>
      <c r="E11">
        <v>0.3125</v>
      </c>
      <c r="F11">
        <v>0.27777777777777701</v>
      </c>
      <c r="G11">
        <v>0</v>
      </c>
      <c r="H11">
        <f t="shared" si="0"/>
        <v>0.1953125</v>
      </c>
      <c r="I11">
        <f t="shared" si="0"/>
        <v>9.2592592592592241E-2</v>
      </c>
      <c r="J11">
        <f t="shared" si="0"/>
        <v>0</v>
      </c>
    </row>
    <row r="12" spans="1:10" x14ac:dyDescent="0.2">
      <c r="A12">
        <v>10</v>
      </c>
      <c r="B12">
        <v>1</v>
      </c>
      <c r="C12">
        <v>0.65</v>
      </c>
      <c r="D12">
        <v>0.78571428571428503</v>
      </c>
      <c r="E12">
        <v>0.59375</v>
      </c>
      <c r="F12">
        <v>0.375</v>
      </c>
      <c r="G12">
        <v>0.42857142857142799</v>
      </c>
      <c r="H12">
        <f t="shared" si="0"/>
        <v>0.59375</v>
      </c>
      <c r="I12">
        <f t="shared" si="0"/>
        <v>0.24375000000000002</v>
      </c>
      <c r="J12">
        <f t="shared" si="0"/>
        <v>0.33673469387755028</v>
      </c>
    </row>
    <row r="13" spans="1:10" x14ac:dyDescent="0.2">
      <c r="A13">
        <v>11</v>
      </c>
      <c r="B13">
        <v>1</v>
      </c>
      <c r="C13">
        <v>0</v>
      </c>
      <c r="D13">
        <v>0</v>
      </c>
      <c r="E13">
        <v>0.5</v>
      </c>
      <c r="F13">
        <v>3.125E-2</v>
      </c>
      <c r="G13">
        <v>0</v>
      </c>
      <c r="H13">
        <f t="shared" si="0"/>
        <v>0.5</v>
      </c>
      <c r="I13">
        <f t="shared" si="0"/>
        <v>0</v>
      </c>
      <c r="J13">
        <f t="shared" si="0"/>
        <v>0</v>
      </c>
    </row>
    <row r="14" spans="1:10" x14ac:dyDescent="0.2">
      <c r="A14">
        <v>12</v>
      </c>
      <c r="B14">
        <v>0.9375</v>
      </c>
      <c r="C14">
        <v>0</v>
      </c>
      <c r="D14">
        <v>0.5</v>
      </c>
      <c r="E14">
        <v>0.375</v>
      </c>
      <c r="F14">
        <v>0.269230769230769</v>
      </c>
      <c r="G14">
        <v>0.27500000000000002</v>
      </c>
      <c r="H14">
        <f t="shared" si="0"/>
        <v>0.3515625</v>
      </c>
      <c r="I14">
        <f t="shared" si="0"/>
        <v>0</v>
      </c>
      <c r="J14">
        <f t="shared" si="0"/>
        <v>0.13750000000000001</v>
      </c>
    </row>
    <row r="15" spans="1:10" x14ac:dyDescent="0.2">
      <c r="A15">
        <v>13</v>
      </c>
      <c r="B15">
        <v>0.9</v>
      </c>
      <c r="C15">
        <v>0.21052631578947301</v>
      </c>
      <c r="D15">
        <v>0.33333333333333298</v>
      </c>
      <c r="E15">
        <v>0.25</v>
      </c>
      <c r="F15">
        <v>0.13157894736842099</v>
      </c>
      <c r="G15">
        <v>4.1666666666666602E-2</v>
      </c>
      <c r="H15">
        <f t="shared" si="0"/>
        <v>0.22500000000000001</v>
      </c>
      <c r="I15">
        <f t="shared" si="0"/>
        <v>2.7700831024930647E-2</v>
      </c>
      <c r="J15">
        <f t="shared" si="0"/>
        <v>1.3888888888888853E-2</v>
      </c>
    </row>
    <row r="16" spans="1:10" x14ac:dyDescent="0.2">
      <c r="A16">
        <v>14</v>
      </c>
      <c r="B16">
        <v>0.42857142857142799</v>
      </c>
      <c r="C16">
        <v>0.25</v>
      </c>
      <c r="D16">
        <v>0.28571428571428498</v>
      </c>
      <c r="E16">
        <v>0.35714285714285698</v>
      </c>
      <c r="F16">
        <v>0.107142857142857</v>
      </c>
      <c r="G16">
        <v>0.19047619047618999</v>
      </c>
      <c r="H16">
        <f t="shared" si="0"/>
        <v>0.15306122448979564</v>
      </c>
      <c r="I16">
        <f t="shared" si="0"/>
        <v>2.678571428571425E-2</v>
      </c>
      <c r="J16">
        <f t="shared" si="0"/>
        <v>5.4421768707482714E-2</v>
      </c>
    </row>
    <row r="17" spans="1:10" x14ac:dyDescent="0.2">
      <c r="A17">
        <v>15</v>
      </c>
      <c r="B17">
        <v>0.75</v>
      </c>
      <c r="C17">
        <v>0.52777777777777701</v>
      </c>
      <c r="D17">
        <v>0.71739130434782605</v>
      </c>
      <c r="E17">
        <v>0.60714285714285698</v>
      </c>
      <c r="F17">
        <v>0.13888888888888801</v>
      </c>
      <c r="G17">
        <v>0.34782608695652101</v>
      </c>
      <c r="H17">
        <f t="shared" si="0"/>
        <v>0.45535714285714274</v>
      </c>
      <c r="I17">
        <f t="shared" si="0"/>
        <v>7.3302469135801893E-2</v>
      </c>
      <c r="J17">
        <f t="shared" si="0"/>
        <v>0.24952741020793898</v>
      </c>
    </row>
    <row r="18" spans="1:10" x14ac:dyDescent="0.2">
      <c r="A18">
        <v>16</v>
      </c>
      <c r="B18">
        <v>0.58163265306122403</v>
      </c>
      <c r="C18">
        <v>0.19318181818181801</v>
      </c>
      <c r="D18">
        <v>1.6949152542372801E-2</v>
      </c>
      <c r="E18">
        <v>0.64285714285714202</v>
      </c>
      <c r="F18">
        <v>0.28409090909090901</v>
      </c>
      <c r="G18">
        <v>3.38983050847457E-2</v>
      </c>
      <c r="H18">
        <f t="shared" si="0"/>
        <v>0.37390670553935779</v>
      </c>
      <c r="I18">
        <f t="shared" si="0"/>
        <v>5.488119834710737E-2</v>
      </c>
      <c r="J18">
        <f t="shared" si="0"/>
        <v>5.7454754380924645E-4</v>
      </c>
    </row>
    <row r="19" spans="1:10" x14ac:dyDescent="0.2">
      <c r="A19">
        <v>17</v>
      </c>
      <c r="B19">
        <v>0.90909090909090895</v>
      </c>
      <c r="C19">
        <v>0.73076923076922995</v>
      </c>
      <c r="D19">
        <v>0.28947368421052599</v>
      </c>
      <c r="E19">
        <v>0.31818181818181801</v>
      </c>
      <c r="F19">
        <v>0.46153846153846101</v>
      </c>
      <c r="G19">
        <v>0.28947368421052599</v>
      </c>
      <c r="H19">
        <f t="shared" si="0"/>
        <v>0.28925619834710725</v>
      </c>
      <c r="I19">
        <f t="shared" si="0"/>
        <v>0.33727810650887496</v>
      </c>
      <c r="J19">
        <f t="shared" si="0"/>
        <v>8.3795013850415323E-2</v>
      </c>
    </row>
    <row r="20" spans="1:10" x14ac:dyDescent="0.2">
      <c r="A20">
        <v>18</v>
      </c>
      <c r="B20">
        <v>0.72222222222222199</v>
      </c>
      <c r="C20">
        <v>0.22727272727272699</v>
      </c>
      <c r="D20">
        <v>0.67857142857142805</v>
      </c>
      <c r="E20">
        <v>0.27777777777777701</v>
      </c>
      <c r="F20">
        <v>0</v>
      </c>
      <c r="G20">
        <v>0.214285714285714</v>
      </c>
      <c r="H20">
        <f t="shared" si="0"/>
        <v>0.20061728395061668</v>
      </c>
      <c r="I20">
        <f t="shared" si="0"/>
        <v>0</v>
      </c>
      <c r="J20">
        <f t="shared" si="0"/>
        <v>0.14540816326530581</v>
      </c>
    </row>
    <row r="21" spans="1:10" x14ac:dyDescent="0.2">
      <c r="A21">
        <v>19</v>
      </c>
      <c r="B21">
        <v>0.69230769230769196</v>
      </c>
      <c r="C21">
        <v>1.6129032258064498E-2</v>
      </c>
      <c r="D21">
        <v>0.21153846153846101</v>
      </c>
      <c r="E21">
        <v>0.53846153846153799</v>
      </c>
      <c r="F21">
        <v>1.6129032258064498E-2</v>
      </c>
      <c r="G21">
        <v>0.134615384615384</v>
      </c>
      <c r="H21">
        <f t="shared" si="0"/>
        <v>0.37278106508875686</v>
      </c>
      <c r="I21">
        <f t="shared" si="0"/>
        <v>2.6014568158168517E-4</v>
      </c>
      <c r="J21">
        <f t="shared" si="0"/>
        <v>2.8476331360946544E-2</v>
      </c>
    </row>
    <row r="22" spans="1:10" x14ac:dyDescent="0.2">
      <c r="A22">
        <v>20</v>
      </c>
      <c r="B22">
        <v>0.44444444444444398</v>
      </c>
      <c r="C22">
        <v>0.38888888888888801</v>
      </c>
      <c r="D22">
        <v>6.6666666666666596E-2</v>
      </c>
      <c r="E22">
        <v>0.194444444444444</v>
      </c>
      <c r="F22">
        <v>0.22222222222222199</v>
      </c>
      <c r="G22">
        <v>3.3333333333333298E-2</v>
      </c>
      <c r="H22">
        <f t="shared" si="0"/>
        <v>8.6419753086419471E-2</v>
      </c>
      <c r="I22">
        <f t="shared" si="0"/>
        <v>8.6419753086419471E-2</v>
      </c>
      <c r="J22">
        <f t="shared" si="0"/>
        <v>2.2222222222222174E-3</v>
      </c>
    </row>
    <row r="23" spans="1:10" x14ac:dyDescent="0.2">
      <c r="A23">
        <v>21</v>
      </c>
      <c r="B23">
        <v>0.58333333333333304</v>
      </c>
      <c r="C23">
        <v>0.5</v>
      </c>
      <c r="D23">
        <v>0.157894736842105</v>
      </c>
      <c r="E23">
        <v>0.16666666666666599</v>
      </c>
      <c r="F23">
        <v>0.133333333333333</v>
      </c>
      <c r="G23">
        <v>0.34210526315789402</v>
      </c>
      <c r="H23">
        <f t="shared" si="0"/>
        <v>9.722222222222178E-2</v>
      </c>
      <c r="I23">
        <f t="shared" si="0"/>
        <v>6.6666666666666499E-2</v>
      </c>
      <c r="J23">
        <f t="shared" si="0"/>
        <v>5.4016620498614755E-2</v>
      </c>
    </row>
    <row r="24" spans="1:10" x14ac:dyDescent="0.2">
      <c r="A24">
        <v>22</v>
      </c>
      <c r="B24">
        <v>0.83333333333333304</v>
      </c>
      <c r="C24">
        <v>0.81818181818181801</v>
      </c>
      <c r="D24">
        <v>0.88888888888888795</v>
      </c>
      <c r="E24">
        <v>0.72222222222222199</v>
      </c>
      <c r="F24">
        <v>0.31818181818181801</v>
      </c>
      <c r="G24">
        <v>0.44444444444444398</v>
      </c>
      <c r="H24">
        <f t="shared" si="0"/>
        <v>0.60185185185185142</v>
      </c>
      <c r="I24">
        <f t="shared" si="0"/>
        <v>0.26033057851239649</v>
      </c>
      <c r="J24">
        <f t="shared" si="0"/>
        <v>0.39506172839506087</v>
      </c>
    </row>
    <row r="25" spans="1:10" x14ac:dyDescent="0.2">
      <c r="A25">
        <v>23</v>
      </c>
      <c r="B25">
        <v>1</v>
      </c>
      <c r="C25">
        <v>0.5</v>
      </c>
      <c r="D25">
        <v>0.75</v>
      </c>
      <c r="E25">
        <v>0.83333333333333304</v>
      </c>
      <c r="F25">
        <v>0.16666666666666599</v>
      </c>
      <c r="G25">
        <v>0.4375</v>
      </c>
      <c r="H25">
        <f t="shared" si="0"/>
        <v>0.83333333333333304</v>
      </c>
      <c r="I25">
        <f t="shared" si="0"/>
        <v>8.3333333333332996E-2</v>
      </c>
      <c r="J25">
        <f t="shared" si="0"/>
        <v>0.328125</v>
      </c>
    </row>
    <row r="26" spans="1:10" x14ac:dyDescent="0.2">
      <c r="A26">
        <v>24</v>
      </c>
      <c r="B26">
        <v>1</v>
      </c>
      <c r="C26">
        <v>1</v>
      </c>
      <c r="D26">
        <v>0.75</v>
      </c>
      <c r="E26">
        <v>0.5</v>
      </c>
      <c r="F26">
        <v>0.58333333333333304</v>
      </c>
      <c r="G26">
        <v>0.625</v>
      </c>
      <c r="H26">
        <f t="shared" si="0"/>
        <v>0.5</v>
      </c>
      <c r="I26">
        <f t="shared" si="0"/>
        <v>0.58333333333333304</v>
      </c>
      <c r="J26">
        <f t="shared" si="0"/>
        <v>0.46875</v>
      </c>
    </row>
    <row r="27" spans="1:10" x14ac:dyDescent="0.2">
      <c r="A27">
        <v>25</v>
      </c>
      <c r="B27">
        <v>0</v>
      </c>
      <c r="C27">
        <v>0</v>
      </c>
      <c r="D27">
        <v>0</v>
      </c>
      <c r="E27">
        <v>0.66666666666666596</v>
      </c>
      <c r="F27">
        <v>0.625</v>
      </c>
      <c r="G27">
        <v>0</v>
      </c>
      <c r="H27">
        <f t="shared" si="0"/>
        <v>0</v>
      </c>
      <c r="I27">
        <f t="shared" si="0"/>
        <v>0</v>
      </c>
      <c r="J27">
        <f t="shared" si="0"/>
        <v>0</v>
      </c>
    </row>
    <row r="28" spans="1:10" x14ac:dyDescent="0.2">
      <c r="A28">
        <v>26</v>
      </c>
      <c r="B28">
        <v>1</v>
      </c>
      <c r="C28">
        <v>0.92857142857142805</v>
      </c>
      <c r="D28">
        <v>1</v>
      </c>
      <c r="E28">
        <v>0.91666666666666596</v>
      </c>
      <c r="F28">
        <v>0.14285714285714199</v>
      </c>
      <c r="G28">
        <v>0.42857142857142799</v>
      </c>
      <c r="H28">
        <f t="shared" si="0"/>
        <v>0.91666666666666596</v>
      </c>
      <c r="I28">
        <f t="shared" si="0"/>
        <v>0.13265306122448892</v>
      </c>
      <c r="J28">
        <f t="shared" si="0"/>
        <v>0.42857142857142799</v>
      </c>
    </row>
    <row r="29" spans="1:10" x14ac:dyDescent="0.2">
      <c r="A29">
        <v>27</v>
      </c>
      <c r="B29">
        <v>1</v>
      </c>
      <c r="C29">
        <v>1</v>
      </c>
      <c r="D29">
        <v>0.875</v>
      </c>
      <c r="E29">
        <v>1</v>
      </c>
      <c r="F29">
        <v>0.4</v>
      </c>
      <c r="G29">
        <v>0.4375</v>
      </c>
      <c r="H29">
        <f t="shared" si="0"/>
        <v>1</v>
      </c>
      <c r="I29">
        <f t="shared" si="0"/>
        <v>0.4</v>
      </c>
      <c r="J29">
        <f t="shared" si="0"/>
        <v>0.3828125</v>
      </c>
    </row>
    <row r="30" spans="1:10" x14ac:dyDescent="0.2">
      <c r="A30">
        <v>28</v>
      </c>
      <c r="B30">
        <v>0.6</v>
      </c>
      <c r="C30">
        <v>0.2</v>
      </c>
      <c r="D30">
        <v>7.69230769230769E-2</v>
      </c>
      <c r="E30">
        <v>0.6</v>
      </c>
      <c r="F30">
        <v>0.3</v>
      </c>
      <c r="G30">
        <v>0</v>
      </c>
      <c r="H30">
        <f t="shared" si="0"/>
        <v>0.36</v>
      </c>
      <c r="I30">
        <f t="shared" si="0"/>
        <v>0.06</v>
      </c>
      <c r="J30">
        <f t="shared" si="0"/>
        <v>0</v>
      </c>
    </row>
    <row r="31" spans="1:10" x14ac:dyDescent="0.2">
      <c r="A31">
        <v>29</v>
      </c>
      <c r="B31">
        <v>1</v>
      </c>
      <c r="C31">
        <v>0.25</v>
      </c>
      <c r="D31">
        <v>0.71428571428571397</v>
      </c>
      <c r="E31">
        <v>1</v>
      </c>
      <c r="F31">
        <v>0.125</v>
      </c>
      <c r="G31">
        <v>0.35714285714285698</v>
      </c>
      <c r="H31">
        <f t="shared" si="0"/>
        <v>1</v>
      </c>
      <c r="I31">
        <f t="shared" si="0"/>
        <v>3.125E-2</v>
      </c>
      <c r="J31">
        <f t="shared" si="0"/>
        <v>0.25510204081632631</v>
      </c>
    </row>
    <row r="32" spans="1:10" x14ac:dyDescent="0.2">
      <c r="A32">
        <v>30</v>
      </c>
      <c r="B32">
        <v>0.16666666666666599</v>
      </c>
      <c r="C32">
        <v>0</v>
      </c>
      <c r="D32">
        <v>0</v>
      </c>
      <c r="E32">
        <v>0.5</v>
      </c>
      <c r="F32">
        <v>0.6</v>
      </c>
      <c r="G32">
        <v>0</v>
      </c>
      <c r="H32">
        <f t="shared" si="0"/>
        <v>8.3333333333332996E-2</v>
      </c>
      <c r="I32">
        <f t="shared" si="0"/>
        <v>0</v>
      </c>
      <c r="J32">
        <f t="shared" si="0"/>
        <v>0</v>
      </c>
    </row>
    <row r="33" spans="1:10" x14ac:dyDescent="0.2">
      <c r="A33">
        <v>31</v>
      </c>
      <c r="B33">
        <v>1</v>
      </c>
      <c r="C33">
        <v>1</v>
      </c>
      <c r="D33">
        <v>0.42857142857142799</v>
      </c>
      <c r="E33">
        <v>1</v>
      </c>
      <c r="F33">
        <v>1</v>
      </c>
      <c r="G33">
        <v>0.214285714285714</v>
      </c>
      <c r="H33">
        <f t="shared" si="0"/>
        <v>1</v>
      </c>
      <c r="I33">
        <f t="shared" si="0"/>
        <v>1</v>
      </c>
      <c r="J33">
        <f t="shared" si="0"/>
        <v>9.1836734693877306E-2</v>
      </c>
    </row>
    <row r="34" spans="1:10" x14ac:dyDescent="0.2">
      <c r="A34">
        <v>32</v>
      </c>
      <c r="B34">
        <v>0.33673469387755101</v>
      </c>
      <c r="C34">
        <v>0.219696969696969</v>
      </c>
      <c r="D34">
        <v>5.4347826086956503E-3</v>
      </c>
      <c r="E34">
        <v>0.71428571428571397</v>
      </c>
      <c r="F34">
        <v>0.33333333333333298</v>
      </c>
      <c r="G34">
        <v>0.26086956521739102</v>
      </c>
      <c r="H34">
        <f t="shared" si="0"/>
        <v>0.24052478134110775</v>
      </c>
      <c r="I34">
        <f t="shared" si="0"/>
        <v>7.3232323232322927E-2</v>
      </c>
      <c r="J34">
        <f t="shared" si="0"/>
        <v>1.4177693761814724E-3</v>
      </c>
    </row>
    <row r="35" spans="1:10" x14ac:dyDescent="0.2">
      <c r="A35">
        <v>33</v>
      </c>
      <c r="B35">
        <v>4.7619047619047603E-2</v>
      </c>
      <c r="C35">
        <v>0.19047619047618999</v>
      </c>
      <c r="D35">
        <v>0.26027397260273899</v>
      </c>
      <c r="E35">
        <v>0.65476190476190399</v>
      </c>
      <c r="F35">
        <v>0.293650793650793</v>
      </c>
      <c r="G35">
        <v>0.34931506849315003</v>
      </c>
      <c r="H35">
        <f t="shared" si="0"/>
        <v>3.1179138321995419E-2</v>
      </c>
      <c r="I35">
        <f t="shared" si="0"/>
        <v>5.5933484504912812E-2</v>
      </c>
      <c r="J35">
        <f t="shared" si="0"/>
        <v>9.0917620566710031E-2</v>
      </c>
    </row>
    <row r="36" spans="1:10" x14ac:dyDescent="0.2">
      <c r="A36">
        <v>34</v>
      </c>
      <c r="B36">
        <v>0.18032786885245899</v>
      </c>
      <c r="C36">
        <v>7.5471698113207503E-2</v>
      </c>
      <c r="D36">
        <v>0.52631578947368396</v>
      </c>
      <c r="E36">
        <v>0.21311475409836</v>
      </c>
      <c r="F36">
        <v>7.5471698113207503E-2</v>
      </c>
      <c r="G36">
        <v>0.44736842105263103</v>
      </c>
      <c r="H36">
        <f t="shared" si="0"/>
        <v>3.8430529427573114E-2</v>
      </c>
      <c r="I36">
        <f t="shared" si="0"/>
        <v>5.695977216091129E-3</v>
      </c>
      <c r="J36">
        <f t="shared" si="0"/>
        <v>0.23545706371191094</v>
      </c>
    </row>
    <row r="37" spans="1:10" x14ac:dyDescent="0.2">
      <c r="A37">
        <v>35</v>
      </c>
      <c r="B37">
        <v>0.77777777777777701</v>
      </c>
      <c r="C37">
        <v>0</v>
      </c>
      <c r="D37">
        <v>0.77777777777777701</v>
      </c>
      <c r="E37">
        <v>0.72222222222222199</v>
      </c>
      <c r="F37">
        <v>0.2</v>
      </c>
      <c r="G37">
        <v>0.77777777777777701</v>
      </c>
      <c r="H37">
        <f t="shared" si="0"/>
        <v>0.56172839506172767</v>
      </c>
      <c r="I37">
        <f t="shared" si="0"/>
        <v>0</v>
      </c>
      <c r="J37">
        <f t="shared" si="0"/>
        <v>0.60493827160493707</v>
      </c>
    </row>
    <row r="38" spans="1:10" x14ac:dyDescent="0.2">
      <c r="A38">
        <v>36</v>
      </c>
      <c r="B38">
        <v>0.54166666666666596</v>
      </c>
      <c r="C38">
        <v>0.27272727272727199</v>
      </c>
      <c r="D38">
        <v>0.201492537313432</v>
      </c>
      <c r="E38">
        <v>0.33333333333333298</v>
      </c>
      <c r="F38">
        <v>0.11363636363636299</v>
      </c>
      <c r="G38">
        <v>0.12686567164179099</v>
      </c>
      <c r="H38">
        <f t="shared" si="0"/>
        <v>0.18055555555555514</v>
      </c>
      <c r="I38">
        <f t="shared" si="0"/>
        <v>3.0991735537189823E-2</v>
      </c>
      <c r="J38">
        <f t="shared" si="0"/>
        <v>2.5562486077077184E-2</v>
      </c>
    </row>
    <row r="39" spans="1:10" x14ac:dyDescent="0.2">
      <c r="A39" t="s">
        <v>9</v>
      </c>
      <c r="B39">
        <f t="shared" ref="B39:G39" si="1">AVERAGE(B2:B38)</f>
        <v>0.65255822471201808</v>
      </c>
      <c r="C39">
        <f t="shared" si="1"/>
        <v>0.3583219109984972</v>
      </c>
      <c r="D39">
        <f t="shared" si="1"/>
        <v>0.40777138745997926</v>
      </c>
      <c r="E39">
        <f t="shared" si="1"/>
        <v>0.5538174245547427</v>
      </c>
      <c r="F39">
        <f t="shared" si="1"/>
        <v>0.22905084995112038</v>
      </c>
      <c r="G39">
        <f t="shared" si="1"/>
        <v>0.26732229396465562</v>
      </c>
      <c r="H39">
        <f t="shared" si="0"/>
        <v>0.36139811538202488</v>
      </c>
      <c r="I39">
        <f t="shared" si="0"/>
        <v>8.2073938270315491E-2</v>
      </c>
      <c r="J39">
        <f t="shared" si="0"/>
        <v>0.10900638270895206</v>
      </c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opLeftCell="A12" zoomScale="70" zoomScaleNormal="70" workbookViewId="0">
      <selection activeCell="N58" sqref="N58"/>
    </sheetView>
  </sheetViews>
  <sheetFormatPr defaultRowHeight="14.25" x14ac:dyDescent="0.2"/>
  <sheetData/>
  <phoneticPr fontId="18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allsectionratiorscore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hpz3y91</cp:lastModifiedBy>
  <cp:lastPrinted>2021-05-28T08:05:13Z</cp:lastPrinted>
  <dcterms:created xsi:type="dcterms:W3CDTF">2021-05-28T07:41:06Z</dcterms:created>
  <dcterms:modified xsi:type="dcterms:W3CDTF">2021-06-24T01:15:48Z</dcterms:modified>
</cp:coreProperties>
</file>